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<sst xmlns="http://schemas.openxmlformats.org/spreadsheetml/2006/main" count="91" uniqueCount="59">
  <si>
    <t>month</t>
  </si>
  <si>
    <t>day</t>
  </si>
  <si>
    <t>start_time</t>
  </si>
  <si>
    <t>am_temp</t>
  </si>
  <si>
    <t>s_city</t>
  </si>
  <si>
    <t>s_odometer</t>
  </si>
  <si>
    <t>end_time</t>
  </si>
  <si>
    <t>pm_temp</t>
  </si>
  <si>
    <t>e_city</t>
  </si>
  <si>
    <t>e_odometer</t>
  </si>
  <si>
    <t>hrs</t>
  </si>
  <si>
    <t>miles</t>
  </si>
  <si>
    <t>time_zone</t>
  </si>
  <si>
    <t>raw_hours</t>
  </si>
  <si>
    <t>activity_time</t>
  </si>
  <si>
    <t>corrected_hrs</t>
  </si>
  <si>
    <t>miles_per_hour</t>
  </si>
  <si>
    <t>Lake San Marcos</t>
  </si>
  <si>
    <t>Youngstown</t>
  </si>
  <si>
    <t>Monument Valley</t>
  </si>
  <si>
    <t>Grand Junction</t>
  </si>
  <si>
    <t>Big Springs</t>
  </si>
  <si>
    <t>Lincoln</t>
  </si>
  <si>
    <t>Burlington</t>
  </si>
  <si>
    <t>Mt. Vernon</t>
  </si>
  <si>
    <t>Bowling Green</t>
  </si>
  <si>
    <t>Pine Mountain</t>
  </si>
  <si>
    <t>Did I arrive earlier?</t>
  </si>
  <si>
    <t>Atlanta</t>
  </si>
  <si>
    <t>Dansdridge</t>
  </si>
  <si>
    <t>Dandridge</t>
  </si>
  <si>
    <t>Huntington</t>
  </si>
  <si>
    <t>Richmond</t>
  </si>
  <si>
    <t>Morehead City</t>
  </si>
  <si>
    <t>Half way point</t>
  </si>
  <si>
    <t>Charleston</t>
  </si>
  <si>
    <t>Murfreesboro</t>
  </si>
  <si>
    <t>St. Peters</t>
  </si>
  <si>
    <t>Denver</t>
  </si>
  <si>
    <t>St. George</t>
  </si>
  <si>
    <t>Barstow</t>
  </si>
  <si>
    <t>Total Miles</t>
  </si>
  <si>
    <t>(incl about town)</t>
  </si>
  <si>
    <t>(trip miles)</t>
  </si>
  <si>
    <t>Days Driving</t>
  </si>
  <si>
    <t>Average Mi/Day</t>
  </si>
  <si>
    <t>average</t>
  </si>
  <si>
    <t>miles/hour</t>
  </si>
  <si>
    <t>Google distance I-20</t>
  </si>
  <si>
    <t>LSM to Morehead City via I20</t>
  </si>
  <si>
    <t>Days</t>
  </si>
  <si>
    <t>hours/day</t>
  </si>
  <si>
    <t>hours</t>
  </si>
  <si>
    <t>@ 300 mi/day</t>
  </si>
  <si>
    <t>One way</t>
  </si>
  <si>
    <t>total</t>
  </si>
  <si>
    <t>Two way</t>
  </si>
  <si>
    <t>working</t>
  </si>
  <si>
    <t>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</si>
</sst>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h:mm am/pm"/>
    <numFmt numFmtId="165" formatCode="h:mm:ss am/pm"/>
    <numFmt numFmtId="166" formatCode="0.0"/>
  </numFmts>
  <fonts count="2">
    <font>
      <sz val="10.0"/>
      <color rgb="FF000000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4" xfId="0" applyFont="1" applyNumberFormat="1"/>
    <xf borderId="0" fillId="0" fontId="1" numFmtId="165" xfId="0" applyAlignment="1" applyFont="1" applyNumberFormat="1">
      <alignment readingOrder="0"/>
    </xf>
    <xf borderId="0" fillId="0" fontId="1" numFmtId="165" xfId="0" applyFont="1" applyNumberFormat="1"/>
    <xf borderId="0" fillId="0" fontId="1" numFmtId="166" xfId="0" applyFont="1" applyNumberFormat="1"/>
    <xf borderId="0" fillId="2" fontId="1" numFmtId="0" xfId="0" applyFill="1" applyFont="1"/>
    <xf borderId="0" fillId="2" fontId="1" numFmtId="0" xfId="0" applyAlignment="1" applyFont="1">
      <alignment readingOrder="0"/>
    </xf>
    <xf borderId="0" fillId="0" fontId="1" numFmtId="165" xfId="0" applyAlignment="1" applyFont="1" applyNumberFormat="1">
      <alignment horizontal="right"/>
    </xf>
    <xf borderId="0" fillId="2" fontId="1" numFmtId="166" xfId="0" applyFont="1" applyNumberFormat="1"/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Roboto"/>
              </a:defRPr>
            </a:pPr>
            <a:r>
              <a:rPr b="1" sz="2000">
                <a:solidFill>
                  <a:srgbClr val="000000"/>
                </a:solidFill>
                <a:latin typeface="Roboto"/>
              </a:rPr>
              <a:t>Driving Period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Sheet2!$E$1</c:f>
            </c:strRef>
          </c:tx>
          <c:spPr>
            <a:solidFill>
              <a:srgbClr val="000000">
                <a:alpha val="0"/>
              </a:srgbClr>
            </a:solidFill>
            <a:ln cmpd="sng">
              <a:solidFill>
                <a:srgbClr val="000000"/>
              </a:solidFill>
            </a:ln>
          </c:spPr>
          <c:cat>
            <c:strRef>
              <c:f>Sheet2!$D$2:$D$26</c:f>
            </c:strRef>
          </c:cat>
          <c:val>
            <c:numRef>
              <c:f>Sheet2!$E$2:$E$26</c:f>
              <c:numCache/>
            </c:numRef>
          </c:val>
        </c:ser>
        <c:ser>
          <c:idx val="1"/>
          <c:order val="1"/>
          <c:tx>
            <c:strRef>
              <c:f>Sheet2!$F$1</c:f>
            </c:strRef>
          </c:tx>
          <c:spPr>
            <a:solidFill>
              <a:srgbClr val="DC3912"/>
            </a:solidFill>
            <a:ln cmpd="sng">
              <a:solidFill>
                <a:srgbClr val="000000"/>
              </a:solidFill>
            </a:ln>
          </c:spPr>
          <c:cat>
            <c:strRef>
              <c:f>Sheet2!$D$2:$D$26</c:f>
            </c:strRef>
          </c:cat>
          <c:val>
            <c:numRef>
              <c:f>Sheet2!$F$2:$F$26</c:f>
              <c:numCache/>
            </c:numRef>
          </c:val>
        </c:ser>
        <c:overlap val="100"/>
        <c:axId val="127146627"/>
        <c:axId val="2018861960"/>
      </c:barChart>
      <c:catAx>
        <c:axId val="1271466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2000">
                    <a:solidFill>
                      <a:srgbClr val="222222"/>
                    </a:solidFill>
                    <a:latin typeface="Roboto"/>
                  </a:defRPr>
                </a:pPr>
                <a:r>
                  <a:rPr b="1" i="0" sz="2000">
                    <a:solidFill>
                      <a:srgbClr val="222222"/>
                    </a:solidFill>
                    <a:latin typeface="Roboto"/>
                  </a:rPr>
                  <a:t>Driving 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sz="2000">
                <a:solidFill>
                  <a:srgbClr val="222222"/>
                </a:solidFill>
                <a:latin typeface="Roboto"/>
              </a:defRPr>
            </a:pPr>
          </a:p>
        </c:txPr>
        <c:crossAx val="2018861960"/>
      </c:catAx>
      <c:valAx>
        <c:axId val="2018861960"/>
        <c:scaling>
          <c:orientation val="minMax"/>
        </c:scaling>
        <c:delete val="0"/>
        <c:axPos val="l"/>
        <c:majorGridlines>
          <c:spPr>
            <a:ln>
              <a:solidFill>
                <a:srgbClr val="00000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sz="2000">
                <a:solidFill>
                  <a:srgbClr val="222222"/>
                </a:solidFill>
                <a:latin typeface="Roboto"/>
              </a:defRPr>
            </a:pPr>
          </a:p>
        </c:txPr>
        <c:crossAx val="127146627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000000"/>
                </a:solidFill>
                <a:latin typeface="Roboto"/>
              </a:defRPr>
            </a:pPr>
            <a:r>
              <a:rPr b="0" sz="1600">
                <a:solidFill>
                  <a:srgbClr val="000000"/>
                </a:solidFill>
                <a:latin typeface="Roboto"/>
              </a:rPr>
              <a:t>AM temp and PM temp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Sheet2!$I$1</c:f>
            </c:strRef>
          </c:tx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val>
            <c:numRef>
              <c:f>Sheet2!$I$2:$I$26</c:f>
              <c:numCache/>
            </c:numRef>
          </c:val>
          <c:smooth val="0"/>
        </c:ser>
        <c:ser>
          <c:idx val="1"/>
          <c:order val="1"/>
          <c:tx>
            <c:strRef>
              <c:f>Sheet2!$J$1</c:f>
            </c:strRef>
          </c:tx>
          <c:spPr>
            <a:ln cmpd="sng">
              <a:solidFill>
                <a:srgbClr val="DC3912"/>
              </a:solidFill>
            </a:ln>
          </c:spPr>
          <c:marker>
            <c:symbol val="none"/>
          </c:marker>
          <c:val>
            <c:numRef>
              <c:f>Sheet2!$J$2:$J$26</c:f>
              <c:numCache/>
            </c:numRef>
          </c:val>
          <c:smooth val="0"/>
        </c:ser>
        <c:axId val="165631832"/>
        <c:axId val="1411404428"/>
      </c:lineChart>
      <c:catAx>
        <c:axId val="165631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11404428"/>
      </c:catAx>
      <c:valAx>
        <c:axId val="14114044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56318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27</xdr:row>
      <xdr:rowOff>123825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885825</xdr:colOff>
      <xdr:row>8</xdr:row>
      <xdr:rowOff>104775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10</v>
      </c>
      <c r="M1" s="1" t="s">
        <v>11</v>
      </c>
      <c r="N1" s="1" t="s">
        <v>12</v>
      </c>
      <c r="O1" s="2" t="s">
        <v>13</v>
      </c>
      <c r="P1" s="1" t="s">
        <v>14</v>
      </c>
      <c r="Q1" s="1" t="s">
        <v>15</v>
      </c>
      <c r="R1" s="1" t="s">
        <v>16</v>
      </c>
    </row>
    <row r="2">
      <c r="A2" s="1">
        <v>5.0</v>
      </c>
      <c r="B2" s="1">
        <v>26.0</v>
      </c>
      <c r="C2" s="3">
        <v>0.5263888888888889</v>
      </c>
      <c r="D2" s="1">
        <v>68.0</v>
      </c>
      <c r="E2" s="1" t="s">
        <v>17</v>
      </c>
      <c r="F2" s="1">
        <v>58214.0</v>
      </c>
      <c r="G2" s="3">
        <v>0.8618055555555556</v>
      </c>
      <c r="H2" s="1">
        <v>79.0</v>
      </c>
      <c r="I2" s="1" t="s">
        <v>18</v>
      </c>
      <c r="J2" s="1">
        <v>58559.0</v>
      </c>
      <c r="L2" s="4">
        <f t="shared" ref="L2:L26" si="1">G2-C2</f>
        <v>0.3354166667</v>
      </c>
      <c r="M2">
        <f t="shared" ref="M2:M26" si="2">J2-F2</f>
        <v>345</v>
      </c>
      <c r="N2" s="1">
        <v>0.0</v>
      </c>
      <c r="O2" s="5">
        <f t="shared" ref="O2:O26" si="3">(L2+(N2/24))*24</f>
        <v>8.05</v>
      </c>
      <c r="P2" s="1">
        <v>0.25</v>
      </c>
      <c r="Q2" s="5">
        <f t="shared" ref="Q2:Q26" si="4">O2-P2</f>
        <v>7.8</v>
      </c>
      <c r="R2" s="5">
        <f t="shared" ref="R2:R26" si="5">M2/Q2</f>
        <v>44.23076923</v>
      </c>
    </row>
    <row r="3">
      <c r="A3" s="1">
        <v>5.0</v>
      </c>
      <c r="B3" s="1">
        <v>27.0</v>
      </c>
      <c r="C3" s="3">
        <v>0.2777777777777778</v>
      </c>
      <c r="D3" s="1">
        <v>72.0</v>
      </c>
      <c r="E3" s="1" t="s">
        <v>18</v>
      </c>
      <c r="F3" s="1">
        <v>58559.0</v>
      </c>
      <c r="G3" s="3">
        <v>0.7201388888888889</v>
      </c>
      <c r="H3" s="1">
        <v>72.0</v>
      </c>
      <c r="I3" s="1" t="s">
        <v>19</v>
      </c>
      <c r="J3" s="1">
        <v>58921.0</v>
      </c>
      <c r="L3" s="4">
        <f t="shared" si="1"/>
        <v>0.4423611111</v>
      </c>
      <c r="M3">
        <f t="shared" si="2"/>
        <v>362</v>
      </c>
      <c r="N3" s="1">
        <v>0.0</v>
      </c>
      <c r="O3" s="5">
        <f t="shared" si="3"/>
        <v>10.61666667</v>
      </c>
      <c r="P3" s="1">
        <v>1.0</v>
      </c>
      <c r="Q3" s="5">
        <f t="shared" si="4"/>
        <v>9.616666667</v>
      </c>
      <c r="R3" s="5">
        <f t="shared" si="5"/>
        <v>37.64298094</v>
      </c>
    </row>
    <row r="4">
      <c r="A4" s="1">
        <v>5.0</v>
      </c>
      <c r="B4" s="1">
        <v>28.0</v>
      </c>
      <c r="C4" s="3">
        <v>0.3076388888888889</v>
      </c>
      <c r="D4" s="1">
        <v>57.0</v>
      </c>
      <c r="E4" s="1" t="s">
        <v>19</v>
      </c>
      <c r="F4" s="1">
        <v>58921.0</v>
      </c>
      <c r="G4" s="3">
        <v>0.59375</v>
      </c>
      <c r="H4" s="1">
        <v>74.0</v>
      </c>
      <c r="I4" s="1" t="s">
        <v>20</v>
      </c>
      <c r="J4" s="1">
        <v>59199.0</v>
      </c>
      <c r="L4" s="4">
        <f t="shared" si="1"/>
        <v>0.2861111111</v>
      </c>
      <c r="M4">
        <f t="shared" si="2"/>
        <v>278</v>
      </c>
      <c r="N4" s="1">
        <v>-1.0</v>
      </c>
      <c r="O4" s="5">
        <f t="shared" si="3"/>
        <v>5.866666667</v>
      </c>
      <c r="P4" s="1">
        <v>0.5</v>
      </c>
      <c r="Q4" s="5">
        <f t="shared" si="4"/>
        <v>5.366666667</v>
      </c>
      <c r="R4" s="5">
        <f t="shared" si="5"/>
        <v>51.80124224</v>
      </c>
    </row>
    <row r="5">
      <c r="A5" s="1">
        <v>5.0</v>
      </c>
      <c r="B5" s="1">
        <v>29.0</v>
      </c>
      <c r="C5" s="3">
        <v>0.33055555555555555</v>
      </c>
      <c r="D5" s="1">
        <v>63.0</v>
      </c>
      <c r="E5" s="1" t="s">
        <v>20</v>
      </c>
      <c r="F5" s="1">
        <v>59203.0</v>
      </c>
      <c r="G5" s="3">
        <v>0.7229166666666667</v>
      </c>
      <c r="H5" s="1">
        <v>80.0</v>
      </c>
      <c r="I5" s="1" t="s">
        <v>21</v>
      </c>
      <c r="J5" s="1">
        <v>59627.0</v>
      </c>
      <c r="L5" s="4">
        <f t="shared" si="1"/>
        <v>0.3923611111</v>
      </c>
      <c r="M5">
        <f t="shared" si="2"/>
        <v>424</v>
      </c>
      <c r="N5" s="1">
        <v>0.0</v>
      </c>
      <c r="O5" s="5">
        <f t="shared" si="3"/>
        <v>9.416666667</v>
      </c>
      <c r="P5" s="1">
        <v>0.5</v>
      </c>
      <c r="Q5" s="5">
        <f t="shared" si="4"/>
        <v>8.916666667</v>
      </c>
      <c r="R5" s="5">
        <f t="shared" si="5"/>
        <v>47.55140187</v>
      </c>
    </row>
    <row r="6">
      <c r="A6" s="1">
        <v>5.0</v>
      </c>
      <c r="B6" s="1">
        <v>30.0</v>
      </c>
      <c r="C6" s="3">
        <v>0.27361111111111114</v>
      </c>
      <c r="D6" s="1">
        <v>57.0</v>
      </c>
      <c r="E6" s="1" t="s">
        <v>21</v>
      </c>
      <c r="F6" s="1">
        <v>59627.0</v>
      </c>
      <c r="G6" s="3">
        <v>0.6118055555555556</v>
      </c>
      <c r="H6" s="1">
        <v>86.0</v>
      </c>
      <c r="I6" s="1" t="s">
        <v>22</v>
      </c>
      <c r="J6" s="1">
        <v>59930.0</v>
      </c>
      <c r="L6" s="4">
        <f t="shared" si="1"/>
        <v>0.3381944444</v>
      </c>
      <c r="M6">
        <f t="shared" si="2"/>
        <v>303</v>
      </c>
      <c r="N6" s="1">
        <v>-1.0</v>
      </c>
      <c r="O6" s="5">
        <f t="shared" si="3"/>
        <v>7.116666667</v>
      </c>
      <c r="P6" s="1">
        <v>0.0</v>
      </c>
      <c r="Q6" s="5">
        <f t="shared" si="4"/>
        <v>7.116666667</v>
      </c>
      <c r="R6" s="5">
        <f t="shared" si="5"/>
        <v>42.57611241</v>
      </c>
    </row>
    <row r="7">
      <c r="A7" s="1">
        <v>5.0</v>
      </c>
      <c r="B7" s="1">
        <v>31.0</v>
      </c>
      <c r="C7" s="3">
        <v>0.37916666666666665</v>
      </c>
      <c r="D7" s="1">
        <v>66.0</v>
      </c>
      <c r="E7" s="1" t="s">
        <v>22</v>
      </c>
      <c r="F7" s="1">
        <v>59931.0</v>
      </c>
      <c r="G7" s="3">
        <v>0.6916666666666667</v>
      </c>
      <c r="H7" s="1">
        <v>75.0</v>
      </c>
      <c r="I7" s="1" t="s">
        <v>23</v>
      </c>
      <c r="J7" s="1">
        <v>60241.0</v>
      </c>
      <c r="L7" s="4">
        <f t="shared" si="1"/>
        <v>0.3125</v>
      </c>
      <c r="M7">
        <f t="shared" si="2"/>
        <v>310</v>
      </c>
      <c r="N7" s="1">
        <v>0.0</v>
      </c>
      <c r="O7" s="5">
        <f t="shared" si="3"/>
        <v>7.5</v>
      </c>
      <c r="P7" s="1">
        <v>0.0</v>
      </c>
      <c r="Q7" s="5">
        <f t="shared" si="4"/>
        <v>7.5</v>
      </c>
      <c r="R7" s="5">
        <f t="shared" si="5"/>
        <v>41.33333333</v>
      </c>
    </row>
    <row r="8">
      <c r="A8" s="1">
        <v>6.0</v>
      </c>
      <c r="B8" s="1">
        <v>1.0</v>
      </c>
      <c r="C8" s="3">
        <v>0.3645833333333333</v>
      </c>
      <c r="D8" s="1">
        <v>67.0</v>
      </c>
      <c r="E8" s="1" t="s">
        <v>23</v>
      </c>
      <c r="F8" s="1">
        <v>60241.0</v>
      </c>
      <c r="G8" s="3">
        <v>0.7583333333333333</v>
      </c>
      <c r="H8" s="1">
        <v>78.0</v>
      </c>
      <c r="I8" s="1" t="s">
        <v>24</v>
      </c>
      <c r="J8" s="1">
        <v>60561.0</v>
      </c>
      <c r="L8" s="4">
        <f t="shared" si="1"/>
        <v>0.39375</v>
      </c>
      <c r="M8">
        <f t="shared" si="2"/>
        <v>320</v>
      </c>
      <c r="N8" s="1">
        <v>0.0</v>
      </c>
      <c r="O8" s="5">
        <f t="shared" si="3"/>
        <v>9.45</v>
      </c>
      <c r="P8" s="1">
        <v>1.5</v>
      </c>
      <c r="Q8" s="5">
        <f t="shared" si="4"/>
        <v>7.95</v>
      </c>
      <c r="R8" s="5">
        <f t="shared" si="5"/>
        <v>40.25157233</v>
      </c>
    </row>
    <row r="9">
      <c r="A9" s="1">
        <v>6.0</v>
      </c>
      <c r="B9" s="1">
        <v>2.0</v>
      </c>
      <c r="C9" s="3">
        <v>0.41388888888888886</v>
      </c>
      <c r="D9" s="1">
        <v>71.0</v>
      </c>
      <c r="E9" s="1" t="s">
        <v>24</v>
      </c>
      <c r="F9" s="1">
        <v>60561.0</v>
      </c>
      <c r="G9" s="3">
        <v>0.6256944444444444</v>
      </c>
      <c r="H9" s="1">
        <v>84.0</v>
      </c>
      <c r="I9" s="1" t="s">
        <v>25</v>
      </c>
      <c r="J9" s="1">
        <v>60762.0</v>
      </c>
      <c r="L9" s="4">
        <f t="shared" si="1"/>
        <v>0.2118055556</v>
      </c>
      <c r="M9">
        <f t="shared" si="2"/>
        <v>201</v>
      </c>
      <c r="N9" s="1">
        <v>0.0</v>
      </c>
      <c r="O9" s="5">
        <f t="shared" si="3"/>
        <v>5.083333333</v>
      </c>
      <c r="P9" s="1">
        <v>0.0</v>
      </c>
      <c r="Q9" s="5">
        <f t="shared" si="4"/>
        <v>5.083333333</v>
      </c>
      <c r="R9" s="5">
        <f t="shared" si="5"/>
        <v>39.54098361</v>
      </c>
    </row>
    <row r="10">
      <c r="A10" s="1">
        <v>6.0</v>
      </c>
      <c r="B10" s="1">
        <v>3.0</v>
      </c>
      <c r="C10" s="3">
        <v>0.4097222222222222</v>
      </c>
      <c r="D10" s="1">
        <v>75.0</v>
      </c>
      <c r="E10" s="1" t="s">
        <v>25</v>
      </c>
      <c r="F10" s="1">
        <v>60767.0</v>
      </c>
      <c r="G10" s="3">
        <v>0.6416666666666667</v>
      </c>
      <c r="H10" s="1">
        <v>82.0</v>
      </c>
      <c r="I10" s="1" t="s">
        <v>25</v>
      </c>
      <c r="J10" s="1">
        <v>60901.0</v>
      </c>
      <c r="L10" s="4">
        <f t="shared" si="1"/>
        <v>0.2319444444</v>
      </c>
      <c r="M10">
        <f t="shared" si="2"/>
        <v>134</v>
      </c>
      <c r="N10" s="1">
        <v>0.0</v>
      </c>
      <c r="O10" s="5">
        <f t="shared" si="3"/>
        <v>5.566666667</v>
      </c>
      <c r="P10" s="1">
        <v>2.5</v>
      </c>
      <c r="Q10" s="5">
        <f t="shared" si="4"/>
        <v>3.066666667</v>
      </c>
      <c r="R10" s="5">
        <f t="shared" si="5"/>
        <v>43.69565217</v>
      </c>
    </row>
    <row r="11">
      <c r="A11" s="1">
        <v>6.0</v>
      </c>
      <c r="B11" s="1">
        <v>4.0</v>
      </c>
      <c r="C11" s="3">
        <v>0.3729166666666667</v>
      </c>
      <c r="D11" s="1">
        <v>72.0</v>
      </c>
      <c r="E11" s="1" t="s">
        <v>25</v>
      </c>
      <c r="F11" s="1">
        <v>60901.0</v>
      </c>
      <c r="G11" s="3">
        <v>0.69375</v>
      </c>
      <c r="H11" s="1">
        <v>71.0</v>
      </c>
      <c r="I11" s="1" t="s">
        <v>26</v>
      </c>
      <c r="J11" s="1">
        <v>61133.0</v>
      </c>
      <c r="L11" s="4">
        <f t="shared" si="1"/>
        <v>0.3208333333</v>
      </c>
      <c r="M11">
        <f t="shared" si="2"/>
        <v>232</v>
      </c>
      <c r="N11" s="1">
        <v>-1.0</v>
      </c>
      <c r="O11" s="5">
        <f t="shared" si="3"/>
        <v>6.7</v>
      </c>
      <c r="P11" s="1">
        <v>0.25</v>
      </c>
      <c r="Q11" s="5">
        <f t="shared" si="4"/>
        <v>6.45</v>
      </c>
      <c r="R11" s="5">
        <f t="shared" si="5"/>
        <v>35.96899225</v>
      </c>
      <c r="T11" s="1" t="s">
        <v>27</v>
      </c>
    </row>
    <row r="12">
      <c r="A12" s="1">
        <v>6.0</v>
      </c>
      <c r="B12" s="1">
        <v>9.0</v>
      </c>
      <c r="C12" s="3">
        <v>0.31875</v>
      </c>
      <c r="D12" s="1">
        <v>47.0</v>
      </c>
      <c r="E12" s="1" t="s">
        <v>26</v>
      </c>
      <c r="F12" s="1">
        <v>61136.0</v>
      </c>
      <c r="G12" s="3">
        <v>0.6444444444444445</v>
      </c>
      <c r="H12" s="1">
        <v>86.0</v>
      </c>
      <c r="I12" s="1" t="s">
        <v>28</v>
      </c>
      <c r="J12" s="1">
        <v>61450.0</v>
      </c>
      <c r="L12" s="4">
        <f t="shared" si="1"/>
        <v>0.3256944444</v>
      </c>
      <c r="M12">
        <f t="shared" si="2"/>
        <v>314</v>
      </c>
      <c r="N12" s="1">
        <v>0.0</v>
      </c>
      <c r="O12" s="5">
        <f t="shared" si="3"/>
        <v>7.816666667</v>
      </c>
      <c r="P12" s="1">
        <v>0.0</v>
      </c>
      <c r="Q12" s="5">
        <f t="shared" si="4"/>
        <v>7.816666667</v>
      </c>
      <c r="R12" s="5">
        <f t="shared" si="5"/>
        <v>40.17057569</v>
      </c>
    </row>
    <row r="13">
      <c r="A13" s="1">
        <v>6.0</v>
      </c>
      <c r="B13" s="1">
        <v>10.0</v>
      </c>
      <c r="C13" s="3">
        <v>0.38680555555555557</v>
      </c>
      <c r="D13" s="1">
        <v>76.0</v>
      </c>
      <c r="E13" s="1" t="s">
        <v>28</v>
      </c>
      <c r="F13" s="1">
        <v>61450.0</v>
      </c>
      <c r="G13" s="3">
        <v>0.65625</v>
      </c>
      <c r="H13" s="1">
        <v>88.0</v>
      </c>
      <c r="I13" s="1" t="s">
        <v>29</v>
      </c>
      <c r="J13" s="1">
        <v>61693.0</v>
      </c>
      <c r="L13" s="4">
        <f t="shared" si="1"/>
        <v>0.2694444444</v>
      </c>
      <c r="M13">
        <f t="shared" si="2"/>
        <v>243</v>
      </c>
      <c r="N13" s="1">
        <v>0.0</v>
      </c>
      <c r="O13" s="5">
        <f t="shared" si="3"/>
        <v>6.466666667</v>
      </c>
      <c r="P13" s="1">
        <v>0.5</v>
      </c>
      <c r="Q13" s="5">
        <f t="shared" si="4"/>
        <v>5.966666667</v>
      </c>
      <c r="R13" s="5">
        <f t="shared" si="5"/>
        <v>40.72625698</v>
      </c>
    </row>
    <row r="14">
      <c r="A14" s="1">
        <v>6.0</v>
      </c>
      <c r="B14" s="1">
        <v>11.0</v>
      </c>
      <c r="C14" s="3">
        <v>0.3819444444444444</v>
      </c>
      <c r="D14" s="1">
        <v>76.0</v>
      </c>
      <c r="E14" s="1" t="s">
        <v>30</v>
      </c>
      <c r="F14" s="1">
        <v>61724.0</v>
      </c>
      <c r="G14" s="3">
        <v>0.6208333333333333</v>
      </c>
      <c r="H14" s="1">
        <v>93.0</v>
      </c>
      <c r="I14" s="1" t="s">
        <v>31</v>
      </c>
      <c r="J14" s="1">
        <v>61979.0</v>
      </c>
      <c r="L14" s="4">
        <f t="shared" si="1"/>
        <v>0.2388888889</v>
      </c>
      <c r="M14">
        <f t="shared" si="2"/>
        <v>255</v>
      </c>
      <c r="N14" s="1">
        <v>0.0</v>
      </c>
      <c r="O14" s="5">
        <f t="shared" si="3"/>
        <v>5.733333333</v>
      </c>
      <c r="P14" s="1">
        <v>0.0</v>
      </c>
      <c r="Q14" s="5">
        <f t="shared" si="4"/>
        <v>5.733333333</v>
      </c>
      <c r="R14" s="5">
        <f t="shared" si="5"/>
        <v>44.47674419</v>
      </c>
    </row>
    <row r="15">
      <c r="A15" s="1">
        <v>6.0</v>
      </c>
      <c r="B15" s="1">
        <v>12.0</v>
      </c>
      <c r="C15" s="3">
        <v>0.3736111111111111</v>
      </c>
      <c r="D15" s="1">
        <v>78.0</v>
      </c>
      <c r="E15" s="1" t="s">
        <v>31</v>
      </c>
      <c r="F15" s="1">
        <v>61986.0</v>
      </c>
      <c r="G15" s="3">
        <v>0.6736111111111112</v>
      </c>
      <c r="H15" s="1">
        <v>91.0</v>
      </c>
      <c r="I15" s="1" t="s">
        <v>32</v>
      </c>
      <c r="J15" s="1">
        <v>62345.0</v>
      </c>
      <c r="L15" s="4">
        <f t="shared" si="1"/>
        <v>0.3</v>
      </c>
      <c r="M15">
        <f t="shared" si="2"/>
        <v>359</v>
      </c>
      <c r="N15" s="1">
        <v>0.0</v>
      </c>
      <c r="O15" s="5">
        <f t="shared" si="3"/>
        <v>7.2</v>
      </c>
      <c r="P15" s="1">
        <v>0.0</v>
      </c>
      <c r="Q15" s="5">
        <f t="shared" si="4"/>
        <v>7.2</v>
      </c>
      <c r="R15" s="5">
        <f t="shared" si="5"/>
        <v>49.86111111</v>
      </c>
    </row>
    <row r="16">
      <c r="A16" s="1">
        <v>6.0</v>
      </c>
      <c r="B16" s="1">
        <v>13.0</v>
      </c>
      <c r="C16" s="3">
        <v>0.35208333333333336</v>
      </c>
      <c r="D16" s="1">
        <v>67.0</v>
      </c>
      <c r="E16" s="1" t="s">
        <v>32</v>
      </c>
      <c r="F16" s="1">
        <v>62345.0</v>
      </c>
      <c r="G16" s="3">
        <v>0.7666666666666667</v>
      </c>
      <c r="H16" s="1">
        <v>79.0</v>
      </c>
      <c r="I16" s="1" t="s">
        <v>33</v>
      </c>
      <c r="J16" s="1">
        <v>62701.0</v>
      </c>
      <c r="L16" s="4">
        <f t="shared" si="1"/>
        <v>0.4145833333</v>
      </c>
      <c r="M16">
        <f t="shared" si="2"/>
        <v>356</v>
      </c>
      <c r="N16" s="1">
        <v>0.0</v>
      </c>
      <c r="O16" s="5">
        <f t="shared" si="3"/>
        <v>9.95</v>
      </c>
      <c r="P16" s="1">
        <v>2.0</v>
      </c>
      <c r="Q16" s="5">
        <f t="shared" si="4"/>
        <v>7.95</v>
      </c>
      <c r="R16" s="5">
        <f t="shared" si="5"/>
        <v>44.77987421</v>
      </c>
      <c r="T16" s="1" t="s">
        <v>34</v>
      </c>
    </row>
    <row r="17">
      <c r="A17" s="1">
        <v>6.0</v>
      </c>
      <c r="B17" s="1">
        <v>14.0</v>
      </c>
      <c r="C17" s="3">
        <v>0.3423611111111111</v>
      </c>
      <c r="D17" s="1">
        <v>79.0</v>
      </c>
      <c r="E17" s="1" t="s">
        <v>33</v>
      </c>
      <c r="F17" s="1">
        <v>62702.0</v>
      </c>
      <c r="G17" s="3">
        <v>0.6944444444444444</v>
      </c>
      <c r="H17" s="1">
        <v>90.0</v>
      </c>
      <c r="I17" s="1" t="s">
        <v>35</v>
      </c>
      <c r="J17" s="1">
        <v>62967.0</v>
      </c>
      <c r="L17" s="4">
        <f t="shared" si="1"/>
        <v>0.3520833333</v>
      </c>
      <c r="M17">
        <f t="shared" si="2"/>
        <v>265</v>
      </c>
      <c r="N17" s="1">
        <v>0.0</v>
      </c>
      <c r="O17" s="5">
        <f t="shared" si="3"/>
        <v>8.45</v>
      </c>
      <c r="P17" s="1">
        <v>2.0</v>
      </c>
      <c r="Q17" s="5">
        <f t="shared" si="4"/>
        <v>6.45</v>
      </c>
      <c r="R17" s="5">
        <f t="shared" si="5"/>
        <v>41.08527132</v>
      </c>
    </row>
    <row r="18">
      <c r="A18" s="1">
        <v>6.0</v>
      </c>
      <c r="B18" s="1">
        <v>15.0</v>
      </c>
      <c r="C18" s="3">
        <v>0.3819444444444444</v>
      </c>
      <c r="D18" s="1">
        <v>83.0</v>
      </c>
      <c r="E18" s="1" t="s">
        <v>35</v>
      </c>
      <c r="F18" s="1">
        <v>62967.0</v>
      </c>
      <c r="G18" s="3">
        <v>0.6347222222222222</v>
      </c>
      <c r="H18" s="1">
        <v>85.0</v>
      </c>
      <c r="I18" s="1" t="s">
        <v>28</v>
      </c>
      <c r="J18" s="1">
        <v>63262.0</v>
      </c>
      <c r="L18" s="4">
        <f t="shared" si="1"/>
        <v>0.2527777778</v>
      </c>
      <c r="M18">
        <f t="shared" si="2"/>
        <v>295</v>
      </c>
      <c r="N18" s="1">
        <v>0.0</v>
      </c>
      <c r="O18" s="5">
        <f t="shared" si="3"/>
        <v>6.066666667</v>
      </c>
      <c r="P18" s="1">
        <v>0.0</v>
      </c>
      <c r="Q18" s="5">
        <f t="shared" si="4"/>
        <v>6.066666667</v>
      </c>
      <c r="R18" s="5">
        <f t="shared" si="5"/>
        <v>48.62637363</v>
      </c>
    </row>
    <row r="19">
      <c r="A19" s="1">
        <v>6.0</v>
      </c>
      <c r="B19" s="1">
        <v>16.0</v>
      </c>
      <c r="C19" s="3">
        <v>0.33055555555555555</v>
      </c>
      <c r="D19" s="1">
        <v>73.0</v>
      </c>
      <c r="E19" s="1" t="s">
        <v>28</v>
      </c>
      <c r="F19" s="1">
        <v>63262.0</v>
      </c>
      <c r="G19" s="3">
        <v>0.6694444444444444</v>
      </c>
      <c r="H19" s="1">
        <v>93.0</v>
      </c>
      <c r="I19" s="1" t="s">
        <v>36</v>
      </c>
      <c r="J19" s="1">
        <v>63506.0</v>
      </c>
      <c r="L19" s="4">
        <f t="shared" si="1"/>
        <v>0.3388888889</v>
      </c>
      <c r="M19">
        <f t="shared" si="2"/>
        <v>244</v>
      </c>
      <c r="N19" s="1">
        <v>1.0</v>
      </c>
      <c r="O19" s="5">
        <f t="shared" si="3"/>
        <v>9.133333333</v>
      </c>
      <c r="P19" s="1">
        <v>2.5</v>
      </c>
      <c r="Q19" s="5">
        <f t="shared" si="4"/>
        <v>6.633333333</v>
      </c>
      <c r="R19" s="5">
        <f t="shared" si="5"/>
        <v>36.7839196</v>
      </c>
    </row>
    <row r="20">
      <c r="A20" s="1">
        <v>6.0</v>
      </c>
      <c r="B20" s="1">
        <v>17.0</v>
      </c>
      <c r="C20" s="3">
        <v>0.3611111111111111</v>
      </c>
      <c r="D20" s="1">
        <v>83.0</v>
      </c>
      <c r="E20" s="1" t="s">
        <v>36</v>
      </c>
      <c r="F20" s="1">
        <v>63506.0</v>
      </c>
      <c r="G20" s="3">
        <v>0.7152777777777778</v>
      </c>
      <c r="H20" s="1">
        <v>87.0</v>
      </c>
      <c r="I20" s="1" t="s">
        <v>37</v>
      </c>
      <c r="J20" s="1">
        <v>63858.0</v>
      </c>
      <c r="L20" s="4">
        <f t="shared" si="1"/>
        <v>0.3541666667</v>
      </c>
      <c r="M20">
        <f t="shared" si="2"/>
        <v>352</v>
      </c>
      <c r="N20" s="1">
        <v>0.0</v>
      </c>
      <c r="O20" s="5">
        <f t="shared" si="3"/>
        <v>8.5</v>
      </c>
      <c r="P20" s="1">
        <v>0.0</v>
      </c>
      <c r="Q20" s="5">
        <f t="shared" si="4"/>
        <v>8.5</v>
      </c>
      <c r="R20" s="5">
        <f t="shared" si="5"/>
        <v>41.41176471</v>
      </c>
    </row>
    <row r="21">
      <c r="A21" s="1">
        <v>6.0</v>
      </c>
      <c r="B21" s="1">
        <v>18.0</v>
      </c>
      <c r="C21" s="3">
        <v>0.3861111111111111</v>
      </c>
      <c r="D21" s="1">
        <v>81.0</v>
      </c>
      <c r="E21" s="1" t="s">
        <v>37</v>
      </c>
      <c r="F21" s="1">
        <v>63858.0</v>
      </c>
      <c r="G21" s="3">
        <v>0.5513888888888889</v>
      </c>
      <c r="H21" s="1">
        <v>87.0</v>
      </c>
      <c r="I21" s="1" t="s">
        <v>32</v>
      </c>
      <c r="J21" s="1">
        <v>64053.0</v>
      </c>
      <c r="L21" s="4">
        <f t="shared" si="1"/>
        <v>0.1652777778</v>
      </c>
      <c r="M21">
        <f t="shared" si="2"/>
        <v>195</v>
      </c>
      <c r="N21" s="1">
        <v>0.0</v>
      </c>
      <c r="O21" s="5">
        <f t="shared" si="3"/>
        <v>3.966666667</v>
      </c>
      <c r="P21" s="1">
        <v>0.0</v>
      </c>
      <c r="Q21" s="5">
        <f t="shared" si="4"/>
        <v>3.966666667</v>
      </c>
      <c r="R21" s="5">
        <f t="shared" si="5"/>
        <v>49.15966387</v>
      </c>
      <c r="T21" s="6"/>
    </row>
    <row r="22">
      <c r="A22" s="1">
        <v>6.0</v>
      </c>
      <c r="B22" s="1">
        <v>19.0</v>
      </c>
      <c r="C22" s="3">
        <v>0.28958333333333336</v>
      </c>
      <c r="D22" s="1">
        <v>67.0</v>
      </c>
      <c r="E22" s="1" t="s">
        <v>32</v>
      </c>
      <c r="F22" s="1">
        <v>64053.0</v>
      </c>
      <c r="G22" s="3">
        <v>0.7034722222222223</v>
      </c>
      <c r="H22" s="1">
        <v>96.0</v>
      </c>
      <c r="I22" s="1" t="s">
        <v>38</v>
      </c>
      <c r="J22" s="1">
        <v>64693.0</v>
      </c>
      <c r="L22" s="4">
        <f t="shared" si="1"/>
        <v>0.4138888889</v>
      </c>
      <c r="M22">
        <f t="shared" si="2"/>
        <v>640</v>
      </c>
      <c r="N22" s="1">
        <v>1.0</v>
      </c>
      <c r="O22" s="5">
        <f t="shared" si="3"/>
        <v>10.93333333</v>
      </c>
      <c r="P22" s="1">
        <v>0.0</v>
      </c>
      <c r="Q22" s="5">
        <f t="shared" si="4"/>
        <v>10.93333333</v>
      </c>
      <c r="R22" s="5">
        <f t="shared" si="5"/>
        <v>58.53658537</v>
      </c>
      <c r="T22" s="7"/>
    </row>
    <row r="23">
      <c r="A23" s="1">
        <v>6.0</v>
      </c>
      <c r="B23" s="1">
        <v>20.0</v>
      </c>
      <c r="C23" s="3">
        <v>0.33194444444444443</v>
      </c>
      <c r="D23" s="1">
        <v>72.0</v>
      </c>
      <c r="E23" s="1" t="s">
        <v>38</v>
      </c>
      <c r="F23" s="1">
        <v>64693.0</v>
      </c>
      <c r="G23" s="3">
        <v>0.7590277777777777</v>
      </c>
      <c r="H23" s="1">
        <v>101.0</v>
      </c>
      <c r="I23" s="1" t="s">
        <v>20</v>
      </c>
      <c r="J23" s="1">
        <v>64990.0</v>
      </c>
      <c r="L23" s="4">
        <f t="shared" si="1"/>
        <v>0.4270833333</v>
      </c>
      <c r="M23">
        <f t="shared" si="2"/>
        <v>297</v>
      </c>
      <c r="N23" s="1">
        <v>0.0</v>
      </c>
      <c r="O23" s="5">
        <f t="shared" si="3"/>
        <v>10.25</v>
      </c>
      <c r="P23" s="1">
        <v>1.5</v>
      </c>
      <c r="Q23" s="5">
        <f t="shared" si="4"/>
        <v>8.75</v>
      </c>
      <c r="R23" s="5">
        <f t="shared" si="5"/>
        <v>33.94285714</v>
      </c>
      <c r="T23" s="6"/>
    </row>
    <row r="24">
      <c r="A24" s="1">
        <v>6.0</v>
      </c>
      <c r="B24" s="1">
        <v>21.0</v>
      </c>
      <c r="C24" s="3">
        <v>0.32430555555555557</v>
      </c>
      <c r="D24" s="1">
        <v>83.0</v>
      </c>
      <c r="E24" s="1" t="s">
        <v>20</v>
      </c>
      <c r="F24" s="1">
        <v>64990.0</v>
      </c>
      <c r="G24" s="3">
        <v>0.6229166666666667</v>
      </c>
      <c r="H24" s="1">
        <v>107.0</v>
      </c>
      <c r="I24" s="1" t="s">
        <v>39</v>
      </c>
      <c r="J24" s="1">
        <v>65370.0</v>
      </c>
      <c r="L24" s="4">
        <f t="shared" si="1"/>
        <v>0.2986111111</v>
      </c>
      <c r="M24">
        <f t="shared" si="2"/>
        <v>380</v>
      </c>
      <c r="N24" s="1">
        <v>0.0</v>
      </c>
      <c r="O24" s="5">
        <f t="shared" si="3"/>
        <v>7.166666667</v>
      </c>
      <c r="P24" s="1">
        <v>0.25</v>
      </c>
      <c r="Q24" s="5">
        <f t="shared" si="4"/>
        <v>6.916666667</v>
      </c>
      <c r="R24" s="5">
        <f t="shared" si="5"/>
        <v>54.93975904</v>
      </c>
    </row>
    <row r="25">
      <c r="A25" s="1">
        <v>6.0</v>
      </c>
      <c r="B25" s="1">
        <v>22.0</v>
      </c>
      <c r="C25" s="3">
        <v>0.31180555555555556</v>
      </c>
      <c r="D25" s="1">
        <v>85.0</v>
      </c>
      <c r="E25" s="1" t="s">
        <v>39</v>
      </c>
      <c r="F25" s="1">
        <v>65370.0</v>
      </c>
      <c r="G25" s="3">
        <v>0.5020833333333333</v>
      </c>
      <c r="H25" s="1">
        <v>98.0</v>
      </c>
      <c r="I25" s="1" t="s">
        <v>40</v>
      </c>
      <c r="J25" s="1">
        <v>65634.0</v>
      </c>
      <c r="L25" s="4">
        <f t="shared" si="1"/>
        <v>0.1902777778</v>
      </c>
      <c r="M25">
        <f t="shared" si="2"/>
        <v>264</v>
      </c>
      <c r="N25" s="1">
        <v>1.0</v>
      </c>
      <c r="O25" s="5">
        <f t="shared" si="3"/>
        <v>5.566666667</v>
      </c>
      <c r="P25" s="1">
        <v>0.0</v>
      </c>
      <c r="Q25" s="5">
        <f t="shared" si="4"/>
        <v>5.566666667</v>
      </c>
      <c r="R25" s="5">
        <f t="shared" si="5"/>
        <v>47.4251497</v>
      </c>
    </row>
    <row r="26">
      <c r="A26" s="1">
        <v>6.0</v>
      </c>
      <c r="B26" s="1">
        <v>23.0</v>
      </c>
      <c r="C26" s="3">
        <v>0.3506944444444444</v>
      </c>
      <c r="D26" s="1">
        <v>88.0</v>
      </c>
      <c r="E26" s="1" t="s">
        <v>40</v>
      </c>
      <c r="F26" s="1">
        <v>65640.0</v>
      </c>
      <c r="G26" s="3">
        <v>0.475</v>
      </c>
      <c r="H26" s="1">
        <v>75.0</v>
      </c>
      <c r="I26" s="1" t="s">
        <v>17</v>
      </c>
      <c r="J26" s="1">
        <v>65789.0</v>
      </c>
      <c r="L26" s="4">
        <f t="shared" si="1"/>
        <v>0.1243055556</v>
      </c>
      <c r="M26">
        <f t="shared" si="2"/>
        <v>149</v>
      </c>
      <c r="N26" s="1">
        <v>0.0</v>
      </c>
      <c r="O26" s="5">
        <f t="shared" si="3"/>
        <v>2.983333333</v>
      </c>
      <c r="P26" s="1">
        <v>0.0</v>
      </c>
      <c r="Q26" s="5">
        <f t="shared" si="4"/>
        <v>2.983333333</v>
      </c>
      <c r="R26" s="5">
        <f t="shared" si="5"/>
        <v>49.94413408</v>
      </c>
    </row>
    <row r="27">
      <c r="O27" s="5"/>
    </row>
    <row r="28">
      <c r="I28" s="1" t="s">
        <v>41</v>
      </c>
      <c r="J28">
        <f>J26-F2</f>
        <v>7575</v>
      </c>
      <c r="K28" s="1" t="s">
        <v>42</v>
      </c>
      <c r="M28">
        <f>sum(M2:M26)</f>
        <v>7517</v>
      </c>
      <c r="N28" s="1" t="s">
        <v>43</v>
      </c>
      <c r="O28" s="5">
        <f t="shared" ref="O28:Q28" si="6">sum(O2:O26)</f>
        <v>185.55</v>
      </c>
      <c r="P28" s="5">
        <f t="shared" si="6"/>
        <v>15.25</v>
      </c>
      <c r="Q28" s="5">
        <f t="shared" si="6"/>
        <v>170.3</v>
      </c>
    </row>
    <row r="29">
      <c r="I29" s="1" t="s">
        <v>44</v>
      </c>
      <c r="J29">
        <f>counta(B2:B26)</f>
        <v>25</v>
      </c>
      <c r="O29" s="5"/>
    </row>
    <row r="30">
      <c r="I30" s="1" t="s">
        <v>45</v>
      </c>
      <c r="J30">
        <f>M28/J29</f>
        <v>300.68</v>
      </c>
      <c r="O30" s="5"/>
      <c r="P30" s="1" t="s">
        <v>46</v>
      </c>
      <c r="Q30" s="5">
        <f t="shared" ref="Q30:R30" si="7">average(Q2:Q26)</f>
        <v>6.812</v>
      </c>
      <c r="R30" s="8">
        <f t="shared" si="7"/>
        <v>44.25852324</v>
      </c>
      <c r="S30" s="1" t="s">
        <v>47</v>
      </c>
      <c r="T30">
        <f>0.93*60</f>
        <v>55.8</v>
      </c>
    </row>
    <row r="31">
      <c r="D31" s="9"/>
      <c r="E31" s="10" t="s">
        <v>48</v>
      </c>
      <c r="F31" s="10" t="s">
        <v>49</v>
      </c>
      <c r="H31" s="1" t="s">
        <v>50</v>
      </c>
      <c r="O31" s="5"/>
      <c r="P31" s="1" t="s">
        <v>46</v>
      </c>
      <c r="Q31" s="11" t="str">
        <f>CONCATENATE(int(Q30),":",int(60*(Q30-int(Q30))))</f>
        <v>6:48</v>
      </c>
      <c r="S31" s="1" t="s">
        <v>51</v>
      </c>
    </row>
    <row r="32">
      <c r="D32" s="9"/>
      <c r="E32" s="10" t="s">
        <v>11</v>
      </c>
      <c r="F32" s="10" t="s">
        <v>52</v>
      </c>
      <c r="G32" s="10" t="s">
        <v>47</v>
      </c>
      <c r="H32" s="1" t="s">
        <v>53</v>
      </c>
      <c r="O32" s="5"/>
    </row>
    <row r="33">
      <c r="D33" s="10" t="s">
        <v>54</v>
      </c>
      <c r="E33" s="10">
        <v>2667.0</v>
      </c>
      <c r="F33" s="10">
        <v>38.0</v>
      </c>
      <c r="G33" s="9"/>
      <c r="H33" s="8">
        <f t="shared" ref="H33:H34" si="9">E33/300</f>
        <v>8.89</v>
      </c>
      <c r="O33" s="5"/>
      <c r="P33" s="1" t="s">
        <v>55</v>
      </c>
      <c r="Q33" t="str">
        <f>concatenate(int(Q28),":",Q36)</f>
        <v>170:17</v>
      </c>
    </row>
    <row r="34">
      <c r="D34" s="10" t="s">
        <v>56</v>
      </c>
      <c r="E34" s="9">
        <f t="shared" ref="E34:F34" si="8">E33*2</f>
        <v>5334</v>
      </c>
      <c r="F34" s="9">
        <f t="shared" si="8"/>
        <v>76</v>
      </c>
      <c r="G34" s="12">
        <f>E34/F34</f>
        <v>70.18421053</v>
      </c>
      <c r="H34" s="8">
        <f t="shared" si="9"/>
        <v>17.78</v>
      </c>
      <c r="O34" s="5"/>
    </row>
    <row r="35">
      <c r="O35" s="5"/>
      <c r="P35" s="1" t="s">
        <v>57</v>
      </c>
      <c r="Q35" s="5">
        <f>Q28-int(Q28)</f>
        <v>0.3</v>
      </c>
    </row>
    <row r="36">
      <c r="O36" s="5"/>
      <c r="P36" s="1" t="s">
        <v>57</v>
      </c>
      <c r="Q36">
        <f>int(Q35*60)</f>
        <v>17</v>
      </c>
    </row>
    <row r="37">
      <c r="O37" s="5"/>
    </row>
    <row r="38">
      <c r="O38" s="5"/>
    </row>
    <row r="39">
      <c r="O39" s="5"/>
    </row>
    <row r="40">
      <c r="O40" s="5"/>
    </row>
    <row r="41">
      <c r="O41" s="5"/>
    </row>
    <row r="42">
      <c r="O42" s="5"/>
    </row>
    <row r="43">
      <c r="O43" s="5"/>
    </row>
    <row r="44">
      <c r="O44" s="5"/>
    </row>
    <row r="45">
      <c r="O45" s="5"/>
    </row>
    <row r="46">
      <c r="O46" s="5"/>
    </row>
    <row r="47">
      <c r="O47" s="5"/>
    </row>
    <row r="48">
      <c r="O48" s="5"/>
    </row>
    <row r="49">
      <c r="O49" s="5"/>
    </row>
    <row r="50">
      <c r="O50" s="5"/>
    </row>
    <row r="51">
      <c r="O51" s="5"/>
    </row>
    <row r="52">
      <c r="O52" s="5"/>
    </row>
    <row r="53">
      <c r="O53" s="5"/>
    </row>
    <row r="54">
      <c r="O54" s="5"/>
    </row>
    <row r="55">
      <c r="O55" s="5"/>
    </row>
    <row r="56">
      <c r="O56" s="5"/>
    </row>
    <row r="57">
      <c r="O57" s="5"/>
    </row>
    <row r="58">
      <c r="O58" s="5"/>
    </row>
    <row r="59">
      <c r="O59" s="5"/>
    </row>
    <row r="60">
      <c r="O60" s="5"/>
    </row>
    <row r="61">
      <c r="O61" s="5"/>
    </row>
    <row r="62">
      <c r="O62" s="5"/>
    </row>
    <row r="63">
      <c r="O63" s="5"/>
    </row>
    <row r="64">
      <c r="O64" s="5"/>
    </row>
    <row r="65">
      <c r="O65" s="5"/>
    </row>
    <row r="66">
      <c r="O66" s="5"/>
    </row>
    <row r="67">
      <c r="O67" s="5"/>
    </row>
    <row r="68">
      <c r="O68" s="5"/>
    </row>
    <row r="69">
      <c r="O69" s="5"/>
    </row>
    <row r="70">
      <c r="O70" s="5"/>
    </row>
    <row r="71">
      <c r="O71" s="5"/>
    </row>
    <row r="72">
      <c r="O72" s="5"/>
    </row>
    <row r="73">
      <c r="O73" s="5"/>
    </row>
    <row r="74">
      <c r="O74" s="5"/>
    </row>
    <row r="75">
      <c r="O75" s="5"/>
    </row>
    <row r="76">
      <c r="O76" s="5"/>
    </row>
    <row r="77">
      <c r="O77" s="5"/>
    </row>
    <row r="78">
      <c r="O78" s="5"/>
    </row>
    <row r="79">
      <c r="O79" s="5"/>
    </row>
    <row r="80">
      <c r="O80" s="5"/>
    </row>
    <row r="81">
      <c r="O81" s="5"/>
    </row>
    <row r="82">
      <c r="O82" s="5"/>
    </row>
    <row r="83">
      <c r="O83" s="5"/>
    </row>
    <row r="84">
      <c r="O84" s="5"/>
    </row>
    <row r="85">
      <c r="O85" s="5"/>
    </row>
    <row r="86">
      <c r="O86" s="5"/>
    </row>
    <row r="87">
      <c r="O87" s="5"/>
    </row>
    <row r="88">
      <c r="O88" s="5"/>
    </row>
    <row r="89">
      <c r="O89" s="5"/>
    </row>
    <row r="90">
      <c r="O90" s="5"/>
    </row>
    <row r="91">
      <c r="O91" s="5"/>
    </row>
    <row r="92">
      <c r="O92" s="5"/>
    </row>
    <row r="93">
      <c r="O93" s="5"/>
    </row>
    <row r="94">
      <c r="O94" s="5"/>
    </row>
    <row r="95">
      <c r="O95" s="5"/>
    </row>
    <row r="96">
      <c r="O96" s="5"/>
    </row>
    <row r="97">
      <c r="O97" s="5"/>
    </row>
    <row r="98">
      <c r="O98" s="5"/>
    </row>
    <row r="99">
      <c r="O99" s="5"/>
    </row>
    <row r="100">
      <c r="O100" s="5"/>
    </row>
    <row r="101">
      <c r="O101" s="5"/>
    </row>
    <row r="102">
      <c r="O102" s="5"/>
    </row>
    <row r="103">
      <c r="O103" s="5"/>
    </row>
    <row r="104">
      <c r="O104" s="5"/>
    </row>
    <row r="105">
      <c r="O105" s="5"/>
    </row>
    <row r="106">
      <c r="O106" s="5"/>
    </row>
    <row r="107">
      <c r="O107" s="5"/>
    </row>
    <row r="108">
      <c r="O108" s="5"/>
    </row>
    <row r="109">
      <c r="O109" s="5"/>
    </row>
    <row r="110">
      <c r="O110" s="5"/>
    </row>
    <row r="111">
      <c r="O111" s="5"/>
    </row>
    <row r="112">
      <c r="O112" s="5"/>
    </row>
    <row r="113">
      <c r="O113" s="5"/>
    </row>
    <row r="114">
      <c r="O114" s="5"/>
    </row>
    <row r="115">
      <c r="O115" s="5"/>
    </row>
    <row r="116">
      <c r="O116" s="5"/>
    </row>
    <row r="117">
      <c r="O117" s="5"/>
    </row>
    <row r="118">
      <c r="O118" s="5"/>
    </row>
    <row r="119">
      <c r="O119" s="5"/>
    </row>
    <row r="120">
      <c r="O120" s="5"/>
    </row>
    <row r="121">
      <c r="O121" s="5"/>
    </row>
    <row r="122">
      <c r="O122" s="5"/>
    </row>
    <row r="123">
      <c r="O123" s="5"/>
    </row>
    <row r="124">
      <c r="O124" s="5"/>
    </row>
    <row r="125">
      <c r="O125" s="5"/>
    </row>
    <row r="126">
      <c r="O126" s="5"/>
    </row>
    <row r="127">
      <c r="O127" s="5"/>
    </row>
    <row r="128">
      <c r="O128" s="5"/>
    </row>
    <row r="129">
      <c r="O129" s="5"/>
    </row>
    <row r="130">
      <c r="O130" s="5"/>
    </row>
    <row r="131">
      <c r="O131" s="5"/>
    </row>
    <row r="132">
      <c r="O132" s="5"/>
    </row>
    <row r="133">
      <c r="O133" s="5"/>
    </row>
    <row r="134">
      <c r="O134" s="5"/>
    </row>
    <row r="135">
      <c r="O135" s="5"/>
    </row>
    <row r="136">
      <c r="O136" s="5"/>
    </row>
    <row r="137">
      <c r="O137" s="5"/>
    </row>
    <row r="138">
      <c r="O138" s="5"/>
    </row>
    <row r="139">
      <c r="O139" s="5"/>
    </row>
    <row r="140">
      <c r="O140" s="5"/>
    </row>
    <row r="141">
      <c r="O141" s="5"/>
    </row>
    <row r="142">
      <c r="O142" s="5"/>
    </row>
    <row r="143">
      <c r="O143" s="5"/>
    </row>
    <row r="144">
      <c r="O144" s="5"/>
    </row>
    <row r="145">
      <c r="O145" s="5"/>
    </row>
    <row r="146">
      <c r="O146" s="5"/>
    </row>
    <row r="147">
      <c r="O147" s="5"/>
    </row>
    <row r="148">
      <c r="O148" s="5"/>
    </row>
    <row r="149">
      <c r="O149" s="5"/>
    </row>
    <row r="150">
      <c r="O150" s="5"/>
    </row>
    <row r="151">
      <c r="O151" s="5"/>
    </row>
    <row r="152">
      <c r="O152" s="5"/>
    </row>
    <row r="153">
      <c r="O153" s="5"/>
    </row>
    <row r="154">
      <c r="O154" s="5"/>
    </row>
    <row r="155">
      <c r="O155" s="5"/>
    </row>
    <row r="156">
      <c r="O156" s="5"/>
    </row>
    <row r="157">
      <c r="O157" s="5"/>
    </row>
    <row r="158">
      <c r="O158" s="5"/>
    </row>
    <row r="159">
      <c r="O159" s="5"/>
    </row>
    <row r="160">
      <c r="O160" s="5"/>
    </row>
    <row r="161">
      <c r="O161" s="5"/>
    </row>
    <row r="162">
      <c r="O162" s="5"/>
    </row>
    <row r="163">
      <c r="O163" s="5"/>
    </row>
    <row r="164">
      <c r="O164" s="5"/>
    </row>
    <row r="165">
      <c r="O165" s="5"/>
    </row>
    <row r="166">
      <c r="O166" s="5"/>
    </row>
    <row r="167">
      <c r="O167" s="5"/>
    </row>
    <row r="168">
      <c r="O168" s="5"/>
    </row>
    <row r="169">
      <c r="O169" s="5"/>
    </row>
    <row r="170">
      <c r="O170" s="5"/>
    </row>
    <row r="171">
      <c r="O171" s="5"/>
    </row>
    <row r="172">
      <c r="O172" s="5"/>
    </row>
    <row r="173">
      <c r="O173" s="5"/>
    </row>
    <row r="174">
      <c r="O174" s="5"/>
    </row>
    <row r="175">
      <c r="O175" s="5"/>
    </row>
    <row r="176">
      <c r="O176" s="5"/>
    </row>
    <row r="177">
      <c r="O177" s="5"/>
    </row>
    <row r="178">
      <c r="O178" s="5"/>
    </row>
    <row r="179">
      <c r="O179" s="5"/>
    </row>
    <row r="180">
      <c r="O180" s="5"/>
    </row>
    <row r="181">
      <c r="O181" s="5"/>
    </row>
    <row r="182">
      <c r="O182" s="5"/>
    </row>
    <row r="183">
      <c r="O183" s="5"/>
    </row>
    <row r="184">
      <c r="O184" s="5"/>
    </row>
    <row r="185">
      <c r="O185" s="5"/>
    </row>
    <row r="186">
      <c r="O186" s="5"/>
    </row>
    <row r="187">
      <c r="O187" s="5"/>
    </row>
    <row r="188">
      <c r="O188" s="5"/>
    </row>
    <row r="189">
      <c r="O189" s="5"/>
    </row>
    <row r="190">
      <c r="O190" s="5"/>
    </row>
    <row r="191">
      <c r="O191" s="5"/>
    </row>
    <row r="192">
      <c r="O192" s="5"/>
    </row>
    <row r="193">
      <c r="O193" s="5"/>
    </row>
    <row r="194">
      <c r="O194" s="5"/>
    </row>
    <row r="195">
      <c r="O195" s="5"/>
    </row>
    <row r="196">
      <c r="O196" s="5"/>
    </row>
    <row r="197">
      <c r="O197" s="5"/>
    </row>
    <row r="198">
      <c r="O198" s="5"/>
    </row>
    <row r="199">
      <c r="O199" s="5"/>
    </row>
    <row r="200">
      <c r="O200" s="5"/>
    </row>
    <row r="201">
      <c r="O201" s="5"/>
    </row>
    <row r="202">
      <c r="O202" s="5"/>
    </row>
    <row r="203">
      <c r="O203" s="5"/>
    </row>
    <row r="204">
      <c r="O204" s="5"/>
    </row>
    <row r="205">
      <c r="O205" s="5"/>
    </row>
    <row r="206">
      <c r="O206" s="5"/>
    </row>
    <row r="207">
      <c r="O207" s="5"/>
    </row>
    <row r="208">
      <c r="O208" s="5"/>
    </row>
    <row r="209">
      <c r="O209" s="5"/>
    </row>
    <row r="210">
      <c r="O210" s="5"/>
    </row>
    <row r="211">
      <c r="O211" s="5"/>
    </row>
    <row r="212">
      <c r="O212" s="5"/>
    </row>
    <row r="213">
      <c r="O213" s="5"/>
    </row>
    <row r="214">
      <c r="O214" s="5"/>
    </row>
    <row r="215">
      <c r="O215" s="5"/>
    </row>
    <row r="216">
      <c r="O216" s="5"/>
    </row>
    <row r="217">
      <c r="O217" s="5"/>
    </row>
    <row r="218">
      <c r="O218" s="5"/>
    </row>
    <row r="219">
      <c r="O219" s="5"/>
    </row>
    <row r="220">
      <c r="O220" s="5"/>
    </row>
    <row r="221">
      <c r="O221" s="5"/>
    </row>
    <row r="222">
      <c r="O222" s="5"/>
    </row>
    <row r="223">
      <c r="O223" s="5"/>
    </row>
    <row r="224">
      <c r="O224" s="5"/>
    </row>
    <row r="225">
      <c r="O225" s="5"/>
    </row>
    <row r="226">
      <c r="O226" s="5"/>
    </row>
    <row r="227">
      <c r="O227" s="5"/>
    </row>
    <row r="228">
      <c r="O228" s="5"/>
    </row>
    <row r="229">
      <c r="O229" s="5"/>
    </row>
    <row r="230">
      <c r="O230" s="5"/>
    </row>
    <row r="231">
      <c r="O231" s="5"/>
    </row>
    <row r="232">
      <c r="O232" s="5"/>
    </row>
    <row r="233">
      <c r="O233" s="5"/>
    </row>
    <row r="234">
      <c r="O234" s="5"/>
    </row>
    <row r="235">
      <c r="O235" s="5"/>
    </row>
    <row r="236">
      <c r="O236" s="5"/>
    </row>
    <row r="237">
      <c r="O237" s="5"/>
    </row>
    <row r="238">
      <c r="O238" s="5"/>
    </row>
    <row r="239">
      <c r="O239" s="5"/>
    </row>
    <row r="240">
      <c r="O240" s="5"/>
    </row>
    <row r="241">
      <c r="O241" s="5"/>
    </row>
    <row r="242">
      <c r="O242" s="5"/>
    </row>
    <row r="243">
      <c r="O243" s="5"/>
    </row>
    <row r="244">
      <c r="O244" s="5"/>
    </row>
    <row r="245">
      <c r="O245" s="5"/>
    </row>
    <row r="246">
      <c r="O246" s="5"/>
    </row>
    <row r="247">
      <c r="O247" s="5"/>
    </row>
    <row r="248">
      <c r="O248" s="5"/>
    </row>
    <row r="249">
      <c r="O249" s="5"/>
    </row>
    <row r="250">
      <c r="O250" s="5"/>
    </row>
    <row r="251">
      <c r="O251" s="5"/>
    </row>
    <row r="252">
      <c r="O252" s="5"/>
    </row>
    <row r="253">
      <c r="O253" s="5"/>
    </row>
    <row r="254">
      <c r="O254" s="5"/>
    </row>
    <row r="255">
      <c r="O255" s="5"/>
    </row>
    <row r="256">
      <c r="O256" s="5"/>
    </row>
    <row r="257">
      <c r="O257" s="5"/>
    </row>
    <row r="258">
      <c r="O258" s="5"/>
    </row>
    <row r="259">
      <c r="O259" s="5"/>
    </row>
    <row r="260">
      <c r="O260" s="5"/>
    </row>
    <row r="261">
      <c r="O261" s="5"/>
    </row>
    <row r="262">
      <c r="O262" s="5"/>
    </row>
    <row r="263">
      <c r="O263" s="5"/>
    </row>
    <row r="264">
      <c r="O264" s="5"/>
    </row>
    <row r="265">
      <c r="O265" s="5"/>
    </row>
    <row r="266">
      <c r="O266" s="5"/>
    </row>
    <row r="267">
      <c r="O267" s="5"/>
    </row>
    <row r="268">
      <c r="O268" s="5"/>
    </row>
    <row r="269">
      <c r="O269" s="5"/>
    </row>
    <row r="270">
      <c r="O270" s="5"/>
    </row>
    <row r="271">
      <c r="O271" s="5"/>
    </row>
    <row r="272">
      <c r="O272" s="5"/>
    </row>
    <row r="273">
      <c r="O273" s="5"/>
    </row>
    <row r="274">
      <c r="O274" s="5"/>
    </row>
    <row r="275">
      <c r="O275" s="5"/>
    </row>
    <row r="276">
      <c r="O276" s="5"/>
    </row>
    <row r="277">
      <c r="O277" s="5"/>
    </row>
    <row r="278">
      <c r="O278" s="5"/>
    </row>
    <row r="279">
      <c r="O279" s="5"/>
    </row>
    <row r="280">
      <c r="O280" s="5"/>
    </row>
    <row r="281">
      <c r="O281" s="5"/>
    </row>
    <row r="282">
      <c r="O282" s="5"/>
    </row>
    <row r="283">
      <c r="O283" s="5"/>
    </row>
    <row r="284">
      <c r="O284" s="5"/>
    </row>
    <row r="285">
      <c r="O285" s="5"/>
    </row>
    <row r="286">
      <c r="O286" s="5"/>
    </row>
    <row r="287">
      <c r="O287" s="5"/>
    </row>
    <row r="288">
      <c r="O288" s="5"/>
    </row>
    <row r="289">
      <c r="O289" s="5"/>
    </row>
    <row r="290">
      <c r="O290" s="5"/>
    </row>
    <row r="291">
      <c r="O291" s="5"/>
    </row>
    <row r="292">
      <c r="O292" s="5"/>
    </row>
    <row r="293">
      <c r="O293" s="5"/>
    </row>
    <row r="294">
      <c r="O294" s="5"/>
    </row>
    <row r="295">
      <c r="O295" s="5"/>
    </row>
    <row r="296">
      <c r="O296" s="5"/>
    </row>
    <row r="297">
      <c r="O297" s="5"/>
    </row>
    <row r="298">
      <c r="O298" s="5"/>
    </row>
    <row r="299">
      <c r="O299" s="5"/>
    </row>
    <row r="300">
      <c r="O300" s="5"/>
    </row>
    <row r="301">
      <c r="O301" s="5"/>
    </row>
    <row r="302">
      <c r="O302" s="5"/>
    </row>
    <row r="303">
      <c r="O303" s="5"/>
    </row>
    <row r="304">
      <c r="O304" s="5"/>
    </row>
    <row r="305">
      <c r="O305" s="5"/>
    </row>
    <row r="306">
      <c r="O306" s="5"/>
    </row>
    <row r="307">
      <c r="O307" s="5"/>
    </row>
    <row r="308">
      <c r="O308" s="5"/>
    </row>
    <row r="309">
      <c r="O309" s="5"/>
    </row>
    <row r="310">
      <c r="O310" s="5"/>
    </row>
    <row r="311">
      <c r="O311" s="5"/>
    </row>
    <row r="312">
      <c r="O312" s="5"/>
    </row>
    <row r="313">
      <c r="O313" s="5"/>
    </row>
    <row r="314">
      <c r="O314" s="5"/>
    </row>
    <row r="315">
      <c r="O315" s="5"/>
    </row>
    <row r="316">
      <c r="O316" s="5"/>
    </row>
    <row r="317">
      <c r="O317" s="5"/>
    </row>
    <row r="318">
      <c r="O318" s="5"/>
    </row>
    <row r="319">
      <c r="O319" s="5"/>
    </row>
    <row r="320">
      <c r="O320" s="5"/>
    </row>
    <row r="321">
      <c r="O321" s="5"/>
    </row>
    <row r="322">
      <c r="O322" s="5"/>
    </row>
    <row r="323">
      <c r="O323" s="5"/>
    </row>
    <row r="324">
      <c r="O324" s="5"/>
    </row>
    <row r="325">
      <c r="O325" s="5"/>
    </row>
    <row r="326">
      <c r="O326" s="5"/>
    </row>
    <row r="327">
      <c r="O327" s="5"/>
    </row>
    <row r="328">
      <c r="O328" s="5"/>
    </row>
    <row r="329">
      <c r="O329" s="5"/>
    </row>
    <row r="330">
      <c r="O330" s="5"/>
    </row>
    <row r="331">
      <c r="O331" s="5"/>
    </row>
    <row r="332">
      <c r="O332" s="5"/>
    </row>
    <row r="333">
      <c r="O333" s="5"/>
    </row>
    <row r="334">
      <c r="O334" s="5"/>
    </row>
    <row r="335">
      <c r="O335" s="5"/>
    </row>
    <row r="336">
      <c r="O336" s="5"/>
    </row>
    <row r="337">
      <c r="O337" s="5"/>
    </row>
    <row r="338">
      <c r="O338" s="5"/>
    </row>
    <row r="339">
      <c r="O339" s="5"/>
    </row>
    <row r="340">
      <c r="O340" s="5"/>
    </row>
    <row r="341">
      <c r="O341" s="5"/>
    </row>
    <row r="342">
      <c r="O342" s="5"/>
    </row>
    <row r="343">
      <c r="O343" s="5"/>
    </row>
    <row r="344">
      <c r="O344" s="5"/>
    </row>
    <row r="345">
      <c r="O345" s="5"/>
    </row>
    <row r="346">
      <c r="O346" s="5"/>
    </row>
    <row r="347">
      <c r="O347" s="5"/>
    </row>
    <row r="348">
      <c r="O348" s="5"/>
    </row>
    <row r="349">
      <c r="O349" s="5"/>
    </row>
    <row r="350">
      <c r="O350" s="5"/>
    </row>
    <row r="351">
      <c r="O351" s="5"/>
    </row>
    <row r="352">
      <c r="O352" s="5"/>
    </row>
    <row r="353">
      <c r="O353" s="5"/>
    </row>
    <row r="354">
      <c r="O354" s="5"/>
    </row>
    <row r="355">
      <c r="O355" s="5"/>
    </row>
    <row r="356">
      <c r="O356" s="5"/>
    </row>
    <row r="357">
      <c r="O357" s="5"/>
    </row>
    <row r="358">
      <c r="O358" s="5"/>
    </row>
    <row r="359">
      <c r="O359" s="5"/>
    </row>
    <row r="360">
      <c r="O360" s="5"/>
    </row>
    <row r="361">
      <c r="O361" s="5"/>
    </row>
    <row r="362">
      <c r="O362" s="5"/>
    </row>
    <row r="363">
      <c r="O363" s="5"/>
    </row>
    <row r="364">
      <c r="O364" s="5"/>
    </row>
    <row r="365">
      <c r="O365" s="5"/>
    </row>
    <row r="366">
      <c r="O366" s="5"/>
    </row>
    <row r="367">
      <c r="O367" s="5"/>
    </row>
    <row r="368">
      <c r="O368" s="5"/>
    </row>
    <row r="369">
      <c r="O369" s="5"/>
    </row>
    <row r="370">
      <c r="O370" s="5"/>
    </row>
    <row r="371">
      <c r="O371" s="5"/>
    </row>
    <row r="372">
      <c r="O372" s="5"/>
    </row>
    <row r="373">
      <c r="O373" s="5"/>
    </row>
    <row r="374">
      <c r="O374" s="5"/>
    </row>
    <row r="375">
      <c r="O375" s="5"/>
    </row>
    <row r="376">
      <c r="O376" s="5"/>
    </row>
    <row r="377">
      <c r="O377" s="5"/>
    </row>
    <row r="378">
      <c r="O378" s="5"/>
    </row>
    <row r="379">
      <c r="O379" s="5"/>
    </row>
    <row r="380">
      <c r="O380" s="5"/>
    </row>
    <row r="381">
      <c r="O381" s="5"/>
    </row>
    <row r="382">
      <c r="O382" s="5"/>
    </row>
    <row r="383">
      <c r="O383" s="5"/>
    </row>
    <row r="384">
      <c r="O384" s="5"/>
    </row>
    <row r="385">
      <c r="O385" s="5"/>
    </row>
    <row r="386">
      <c r="O386" s="5"/>
    </row>
    <row r="387">
      <c r="O387" s="5"/>
    </row>
    <row r="388">
      <c r="O388" s="5"/>
    </row>
    <row r="389">
      <c r="O389" s="5"/>
    </row>
    <row r="390">
      <c r="O390" s="5"/>
    </row>
    <row r="391">
      <c r="O391" s="5"/>
    </row>
    <row r="392">
      <c r="O392" s="5"/>
    </row>
    <row r="393">
      <c r="O393" s="5"/>
    </row>
    <row r="394">
      <c r="O394" s="5"/>
    </row>
    <row r="395">
      <c r="O395" s="5"/>
    </row>
    <row r="396">
      <c r="O396" s="5"/>
    </row>
    <row r="397">
      <c r="O397" s="5"/>
    </row>
    <row r="398">
      <c r="O398" s="5"/>
    </row>
    <row r="399">
      <c r="O399" s="5"/>
    </row>
    <row r="400">
      <c r="O400" s="5"/>
    </row>
    <row r="401">
      <c r="O401" s="5"/>
    </row>
    <row r="402">
      <c r="O402" s="5"/>
    </row>
    <row r="403">
      <c r="O403" s="5"/>
    </row>
    <row r="404">
      <c r="O404" s="5"/>
    </row>
    <row r="405">
      <c r="O405" s="5"/>
    </row>
    <row r="406">
      <c r="O406" s="5"/>
    </row>
    <row r="407">
      <c r="O407" s="5"/>
    </row>
    <row r="408">
      <c r="O408" s="5"/>
    </row>
    <row r="409">
      <c r="O409" s="5"/>
    </row>
    <row r="410">
      <c r="O410" s="5"/>
    </row>
    <row r="411">
      <c r="O411" s="5"/>
    </row>
    <row r="412">
      <c r="O412" s="5"/>
    </row>
    <row r="413">
      <c r="O413" s="5"/>
    </row>
    <row r="414">
      <c r="O414" s="5"/>
    </row>
    <row r="415">
      <c r="O415" s="5"/>
    </row>
    <row r="416">
      <c r="O416" s="5"/>
    </row>
    <row r="417">
      <c r="O417" s="5"/>
    </row>
    <row r="418">
      <c r="O418" s="5"/>
    </row>
    <row r="419">
      <c r="O419" s="5"/>
    </row>
    <row r="420">
      <c r="O420" s="5"/>
    </row>
    <row r="421">
      <c r="O421" s="5"/>
    </row>
    <row r="422">
      <c r="O422" s="5"/>
    </row>
    <row r="423">
      <c r="O423" s="5"/>
    </row>
    <row r="424">
      <c r="O424" s="5"/>
    </row>
    <row r="425">
      <c r="O425" s="5"/>
    </row>
    <row r="426">
      <c r="O426" s="5"/>
    </row>
    <row r="427">
      <c r="O427" s="5"/>
    </row>
    <row r="428">
      <c r="O428" s="5"/>
    </row>
    <row r="429">
      <c r="O429" s="5"/>
    </row>
    <row r="430">
      <c r="O430" s="5"/>
    </row>
    <row r="431">
      <c r="O431" s="5"/>
    </row>
    <row r="432">
      <c r="O432" s="5"/>
    </row>
    <row r="433">
      <c r="O433" s="5"/>
    </row>
    <row r="434">
      <c r="O434" s="5"/>
    </row>
    <row r="435">
      <c r="O435" s="5"/>
    </row>
    <row r="436">
      <c r="O436" s="5"/>
    </row>
    <row r="437">
      <c r="O437" s="5"/>
    </row>
    <row r="438">
      <c r="O438" s="5"/>
    </row>
    <row r="439">
      <c r="O439" s="5"/>
    </row>
    <row r="440">
      <c r="O440" s="5"/>
    </row>
    <row r="441">
      <c r="O441" s="5"/>
    </row>
    <row r="442">
      <c r="O442" s="5"/>
    </row>
    <row r="443">
      <c r="O443" s="5"/>
    </row>
    <row r="444">
      <c r="O444" s="5"/>
    </row>
    <row r="445">
      <c r="O445" s="5"/>
    </row>
    <row r="446">
      <c r="O446" s="5"/>
    </row>
    <row r="447">
      <c r="O447" s="5"/>
    </row>
    <row r="448">
      <c r="O448" s="5"/>
    </row>
    <row r="449">
      <c r="O449" s="5"/>
    </row>
    <row r="450">
      <c r="O450" s="5"/>
    </row>
    <row r="451">
      <c r="O451" s="5"/>
    </row>
    <row r="452">
      <c r="O452" s="5"/>
    </row>
    <row r="453">
      <c r="O453" s="5"/>
    </row>
    <row r="454">
      <c r="O454" s="5"/>
    </row>
    <row r="455">
      <c r="O455" s="5"/>
    </row>
    <row r="456">
      <c r="O456" s="5"/>
    </row>
    <row r="457">
      <c r="O457" s="5"/>
    </row>
    <row r="458">
      <c r="O458" s="5"/>
    </row>
    <row r="459">
      <c r="O459" s="5"/>
    </row>
    <row r="460">
      <c r="O460" s="5"/>
    </row>
    <row r="461">
      <c r="O461" s="5"/>
    </row>
    <row r="462">
      <c r="O462" s="5"/>
    </row>
    <row r="463">
      <c r="O463" s="5"/>
    </row>
    <row r="464">
      <c r="O464" s="5"/>
    </row>
    <row r="465">
      <c r="O465" s="5"/>
    </row>
    <row r="466">
      <c r="O466" s="5"/>
    </row>
    <row r="467">
      <c r="O467" s="5"/>
    </row>
    <row r="468">
      <c r="O468" s="5"/>
    </row>
    <row r="469">
      <c r="O469" s="5"/>
    </row>
    <row r="470">
      <c r="O470" s="5"/>
    </row>
    <row r="471">
      <c r="O471" s="5"/>
    </row>
    <row r="472">
      <c r="O472" s="5"/>
    </row>
    <row r="473">
      <c r="O473" s="5"/>
    </row>
    <row r="474">
      <c r="O474" s="5"/>
    </row>
    <row r="475">
      <c r="O475" s="5"/>
    </row>
    <row r="476">
      <c r="O476" s="5"/>
    </row>
    <row r="477">
      <c r="O477" s="5"/>
    </row>
    <row r="478">
      <c r="O478" s="5"/>
    </row>
    <row r="479">
      <c r="O479" s="5"/>
    </row>
    <row r="480">
      <c r="O480" s="5"/>
    </row>
    <row r="481">
      <c r="O481" s="5"/>
    </row>
    <row r="482">
      <c r="O482" s="5"/>
    </row>
    <row r="483">
      <c r="O483" s="5"/>
    </row>
    <row r="484">
      <c r="O484" s="5"/>
    </row>
    <row r="485">
      <c r="O485" s="5"/>
    </row>
    <row r="486">
      <c r="O486" s="5"/>
    </row>
    <row r="487">
      <c r="O487" s="5"/>
    </row>
    <row r="488">
      <c r="O488" s="5"/>
    </row>
    <row r="489">
      <c r="O489" s="5"/>
    </row>
    <row r="490">
      <c r="O490" s="5"/>
    </row>
    <row r="491">
      <c r="O491" s="5"/>
    </row>
    <row r="492">
      <c r="O492" s="5"/>
    </row>
    <row r="493">
      <c r="O493" s="5"/>
    </row>
    <row r="494">
      <c r="O494" s="5"/>
    </row>
    <row r="495">
      <c r="O495" s="5"/>
    </row>
    <row r="496">
      <c r="O496" s="5"/>
    </row>
    <row r="497">
      <c r="O497" s="5"/>
    </row>
    <row r="498">
      <c r="O498" s="5"/>
    </row>
    <row r="499">
      <c r="O499" s="5"/>
    </row>
    <row r="500">
      <c r="O500" s="5"/>
    </row>
    <row r="501">
      <c r="O501" s="5"/>
    </row>
    <row r="502">
      <c r="O502" s="5"/>
    </row>
    <row r="503">
      <c r="O503" s="5"/>
    </row>
    <row r="504">
      <c r="O504" s="5"/>
    </row>
    <row r="505">
      <c r="O505" s="5"/>
    </row>
    <row r="506">
      <c r="O506" s="5"/>
    </row>
    <row r="507">
      <c r="O507" s="5"/>
    </row>
    <row r="508">
      <c r="O508" s="5"/>
    </row>
    <row r="509">
      <c r="O509" s="5"/>
    </row>
    <row r="510">
      <c r="O510" s="5"/>
    </row>
    <row r="511">
      <c r="O511" s="5"/>
    </row>
    <row r="512">
      <c r="O512" s="5"/>
    </row>
    <row r="513">
      <c r="O513" s="5"/>
    </row>
    <row r="514">
      <c r="O514" s="5"/>
    </row>
    <row r="515">
      <c r="O515" s="5"/>
    </row>
    <row r="516">
      <c r="O516" s="5"/>
    </row>
    <row r="517">
      <c r="O517" s="5"/>
    </row>
    <row r="518">
      <c r="O518" s="5"/>
    </row>
    <row r="519">
      <c r="O519" s="5"/>
    </row>
    <row r="520">
      <c r="O520" s="5"/>
    </row>
    <row r="521">
      <c r="O521" s="5"/>
    </row>
    <row r="522">
      <c r="O522" s="5"/>
    </row>
    <row r="523">
      <c r="O523" s="5"/>
    </row>
    <row r="524">
      <c r="O524" s="5"/>
    </row>
    <row r="525">
      <c r="O525" s="5"/>
    </row>
    <row r="526">
      <c r="O526" s="5"/>
    </row>
    <row r="527">
      <c r="O527" s="5"/>
    </row>
    <row r="528">
      <c r="O528" s="5"/>
    </row>
    <row r="529">
      <c r="O529" s="5"/>
    </row>
    <row r="530">
      <c r="O530" s="5"/>
    </row>
    <row r="531">
      <c r="O531" s="5"/>
    </row>
    <row r="532">
      <c r="O532" s="5"/>
    </row>
    <row r="533">
      <c r="O533" s="5"/>
    </row>
    <row r="534">
      <c r="O534" s="5"/>
    </row>
    <row r="535">
      <c r="O535" s="5"/>
    </row>
    <row r="536">
      <c r="O536" s="5"/>
    </row>
    <row r="537">
      <c r="O537" s="5"/>
    </row>
    <row r="538">
      <c r="O538" s="5"/>
    </row>
    <row r="539">
      <c r="O539" s="5"/>
    </row>
    <row r="540">
      <c r="O540" s="5"/>
    </row>
    <row r="541">
      <c r="O541" s="5"/>
    </row>
    <row r="542">
      <c r="O542" s="5"/>
    </row>
    <row r="543">
      <c r="O543" s="5"/>
    </row>
    <row r="544">
      <c r="O544" s="5"/>
    </row>
    <row r="545">
      <c r="O545" s="5"/>
    </row>
    <row r="546">
      <c r="O546" s="5"/>
    </row>
    <row r="547">
      <c r="O547" s="5"/>
    </row>
    <row r="548">
      <c r="O548" s="5"/>
    </row>
    <row r="549">
      <c r="O549" s="5"/>
    </row>
    <row r="550">
      <c r="O550" s="5"/>
    </row>
    <row r="551">
      <c r="O551" s="5"/>
    </row>
    <row r="552">
      <c r="O552" s="5"/>
    </row>
    <row r="553">
      <c r="O553" s="5"/>
    </row>
    <row r="554">
      <c r="O554" s="5"/>
    </row>
    <row r="555">
      <c r="O555" s="5"/>
    </row>
    <row r="556">
      <c r="O556" s="5"/>
    </row>
    <row r="557">
      <c r="O557" s="5"/>
    </row>
    <row r="558">
      <c r="O558" s="5"/>
    </row>
    <row r="559">
      <c r="O559" s="5"/>
    </row>
    <row r="560">
      <c r="O560" s="5"/>
    </row>
    <row r="561">
      <c r="O561" s="5"/>
    </row>
    <row r="562">
      <c r="O562" s="5"/>
    </row>
    <row r="563">
      <c r="O563" s="5"/>
    </row>
    <row r="564">
      <c r="O564" s="5"/>
    </row>
    <row r="565">
      <c r="O565" s="5"/>
    </row>
    <row r="566">
      <c r="O566" s="5"/>
    </row>
    <row r="567">
      <c r="O567" s="5"/>
    </row>
    <row r="568">
      <c r="O568" s="5"/>
    </row>
    <row r="569">
      <c r="O569" s="5"/>
    </row>
    <row r="570">
      <c r="O570" s="5"/>
    </row>
    <row r="571">
      <c r="O571" s="5"/>
    </row>
    <row r="572">
      <c r="O572" s="5"/>
    </row>
    <row r="573">
      <c r="O573" s="5"/>
    </row>
    <row r="574">
      <c r="O574" s="5"/>
    </row>
    <row r="575">
      <c r="O575" s="5"/>
    </row>
    <row r="576">
      <c r="O576" s="5"/>
    </row>
    <row r="577">
      <c r="O577" s="5"/>
    </row>
    <row r="578">
      <c r="O578" s="5"/>
    </row>
    <row r="579">
      <c r="O579" s="5"/>
    </row>
    <row r="580">
      <c r="O580" s="5"/>
    </row>
    <row r="581">
      <c r="O581" s="5"/>
    </row>
    <row r="582">
      <c r="O582" s="5"/>
    </row>
    <row r="583">
      <c r="O583" s="5"/>
    </row>
    <row r="584">
      <c r="O584" s="5"/>
    </row>
    <row r="585">
      <c r="O585" s="5"/>
    </row>
    <row r="586">
      <c r="O586" s="5"/>
    </row>
    <row r="587">
      <c r="O587" s="5"/>
    </row>
    <row r="588">
      <c r="O588" s="5"/>
    </row>
    <row r="589">
      <c r="O589" s="5"/>
    </row>
    <row r="590">
      <c r="O590" s="5"/>
    </row>
    <row r="591">
      <c r="O591" s="5"/>
    </row>
    <row r="592">
      <c r="O592" s="5"/>
    </row>
    <row r="593">
      <c r="O593" s="5"/>
    </row>
    <row r="594">
      <c r="O594" s="5"/>
    </row>
    <row r="595">
      <c r="O595" s="5"/>
    </row>
    <row r="596">
      <c r="O596" s="5"/>
    </row>
    <row r="597">
      <c r="O597" s="5"/>
    </row>
    <row r="598">
      <c r="O598" s="5"/>
    </row>
    <row r="599">
      <c r="O599" s="5"/>
    </row>
    <row r="600">
      <c r="O600" s="5"/>
    </row>
    <row r="601">
      <c r="O601" s="5"/>
    </row>
    <row r="602">
      <c r="O602" s="5"/>
    </row>
    <row r="603">
      <c r="O603" s="5"/>
    </row>
    <row r="604">
      <c r="O604" s="5"/>
    </row>
    <row r="605">
      <c r="O605" s="5"/>
    </row>
    <row r="606">
      <c r="O606" s="5"/>
    </row>
    <row r="607">
      <c r="O607" s="5"/>
    </row>
    <row r="608">
      <c r="O608" s="5"/>
    </row>
    <row r="609">
      <c r="O609" s="5"/>
    </row>
    <row r="610">
      <c r="O610" s="5"/>
    </row>
    <row r="611">
      <c r="O611" s="5"/>
    </row>
    <row r="612">
      <c r="O612" s="5"/>
    </row>
    <row r="613">
      <c r="O613" s="5"/>
    </row>
    <row r="614">
      <c r="O614" s="5"/>
    </row>
    <row r="615">
      <c r="O615" s="5"/>
    </row>
    <row r="616">
      <c r="O616" s="5"/>
    </row>
    <row r="617">
      <c r="O617" s="5"/>
    </row>
    <row r="618">
      <c r="O618" s="5"/>
    </row>
    <row r="619">
      <c r="O619" s="5"/>
    </row>
    <row r="620">
      <c r="O620" s="5"/>
    </row>
    <row r="621">
      <c r="O621" s="5"/>
    </row>
    <row r="622">
      <c r="O622" s="5"/>
    </row>
    <row r="623">
      <c r="O623" s="5"/>
    </row>
    <row r="624">
      <c r="O624" s="5"/>
    </row>
    <row r="625">
      <c r="O625" s="5"/>
    </row>
    <row r="626">
      <c r="O626" s="5"/>
    </row>
    <row r="627">
      <c r="O627" s="5"/>
    </row>
    <row r="628">
      <c r="O628" s="5"/>
    </row>
    <row r="629">
      <c r="O629" s="5"/>
    </row>
    <row r="630">
      <c r="O630" s="5"/>
    </row>
    <row r="631">
      <c r="O631" s="5"/>
    </row>
    <row r="632">
      <c r="O632" s="5"/>
    </row>
    <row r="633">
      <c r="O633" s="5"/>
    </row>
    <row r="634">
      <c r="O634" s="5"/>
    </row>
    <row r="635">
      <c r="O635" s="5"/>
    </row>
    <row r="636">
      <c r="O636" s="5"/>
    </row>
    <row r="637">
      <c r="O637" s="5"/>
    </row>
    <row r="638">
      <c r="O638" s="5"/>
    </row>
    <row r="639">
      <c r="O639" s="5"/>
    </row>
    <row r="640">
      <c r="O640" s="5"/>
    </row>
    <row r="641">
      <c r="O641" s="5"/>
    </row>
    <row r="642">
      <c r="O642" s="5"/>
    </row>
    <row r="643">
      <c r="O643" s="5"/>
    </row>
    <row r="644">
      <c r="O644" s="5"/>
    </row>
    <row r="645">
      <c r="O645" s="5"/>
    </row>
    <row r="646">
      <c r="O646" s="5"/>
    </row>
    <row r="647">
      <c r="O647" s="5"/>
    </row>
    <row r="648">
      <c r="O648" s="5"/>
    </row>
    <row r="649">
      <c r="O649" s="5"/>
    </row>
    <row r="650">
      <c r="O650" s="5"/>
    </row>
    <row r="651">
      <c r="O651" s="5"/>
    </row>
    <row r="652">
      <c r="O652" s="5"/>
    </row>
    <row r="653">
      <c r="O653" s="5"/>
    </row>
    <row r="654">
      <c r="O654" s="5"/>
    </row>
    <row r="655">
      <c r="O655" s="5"/>
    </row>
    <row r="656">
      <c r="O656" s="5"/>
    </row>
    <row r="657">
      <c r="O657" s="5"/>
    </row>
    <row r="658">
      <c r="O658" s="5"/>
    </row>
    <row r="659">
      <c r="O659" s="5"/>
    </row>
    <row r="660">
      <c r="O660" s="5"/>
    </row>
    <row r="661">
      <c r="O661" s="5"/>
    </row>
    <row r="662">
      <c r="O662" s="5"/>
    </row>
    <row r="663">
      <c r="O663" s="5"/>
    </row>
    <row r="664">
      <c r="O664" s="5"/>
    </row>
    <row r="665">
      <c r="O665" s="5"/>
    </row>
    <row r="666">
      <c r="O666" s="5"/>
    </row>
    <row r="667">
      <c r="O667" s="5"/>
    </row>
    <row r="668">
      <c r="O668" s="5"/>
    </row>
    <row r="669">
      <c r="O669" s="5"/>
    </row>
    <row r="670">
      <c r="O670" s="5"/>
    </row>
    <row r="671">
      <c r="O671" s="5"/>
    </row>
    <row r="672">
      <c r="O672" s="5"/>
    </row>
    <row r="673">
      <c r="O673" s="5"/>
    </row>
    <row r="674">
      <c r="O674" s="5"/>
    </row>
    <row r="675">
      <c r="O675" s="5"/>
    </row>
    <row r="676">
      <c r="O676" s="5"/>
    </row>
    <row r="677">
      <c r="O677" s="5"/>
    </row>
    <row r="678">
      <c r="O678" s="5"/>
    </row>
    <row r="679">
      <c r="O679" s="5"/>
    </row>
    <row r="680">
      <c r="O680" s="5"/>
    </row>
    <row r="681">
      <c r="O681" s="5"/>
    </row>
    <row r="682">
      <c r="O682" s="5"/>
    </row>
    <row r="683">
      <c r="O683" s="5"/>
    </row>
    <row r="684">
      <c r="O684" s="5"/>
    </row>
    <row r="685">
      <c r="O685" s="5"/>
    </row>
    <row r="686">
      <c r="O686" s="5"/>
    </row>
    <row r="687">
      <c r="O687" s="5"/>
    </row>
    <row r="688">
      <c r="O688" s="5"/>
    </row>
    <row r="689">
      <c r="O689" s="5"/>
    </row>
    <row r="690">
      <c r="O690" s="5"/>
    </row>
    <row r="691">
      <c r="O691" s="5"/>
    </row>
    <row r="692">
      <c r="O692" s="5"/>
    </row>
    <row r="693">
      <c r="O693" s="5"/>
    </row>
    <row r="694">
      <c r="O694" s="5"/>
    </row>
    <row r="695">
      <c r="O695" s="5"/>
    </row>
    <row r="696">
      <c r="O696" s="5"/>
    </row>
    <row r="697">
      <c r="O697" s="5"/>
    </row>
    <row r="698">
      <c r="O698" s="5"/>
    </row>
    <row r="699">
      <c r="O699" s="5"/>
    </row>
    <row r="700">
      <c r="O700" s="5"/>
    </row>
    <row r="701">
      <c r="O701" s="5"/>
    </row>
    <row r="702">
      <c r="O702" s="5"/>
    </row>
    <row r="703">
      <c r="O703" s="5"/>
    </row>
    <row r="704">
      <c r="O704" s="5"/>
    </row>
    <row r="705">
      <c r="O705" s="5"/>
    </row>
    <row r="706">
      <c r="O706" s="5"/>
    </row>
    <row r="707">
      <c r="O707" s="5"/>
    </row>
    <row r="708">
      <c r="O708" s="5"/>
    </row>
    <row r="709">
      <c r="O709" s="5"/>
    </row>
    <row r="710">
      <c r="O710" s="5"/>
    </row>
    <row r="711">
      <c r="O711" s="5"/>
    </row>
    <row r="712">
      <c r="O712" s="5"/>
    </row>
    <row r="713">
      <c r="O713" s="5"/>
    </row>
    <row r="714">
      <c r="O714" s="5"/>
    </row>
    <row r="715">
      <c r="O715" s="5"/>
    </row>
    <row r="716">
      <c r="O716" s="5"/>
    </row>
    <row r="717">
      <c r="O717" s="5"/>
    </row>
    <row r="718">
      <c r="O718" s="5"/>
    </row>
    <row r="719">
      <c r="O719" s="5"/>
    </row>
    <row r="720">
      <c r="O720" s="5"/>
    </row>
    <row r="721">
      <c r="O721" s="5"/>
    </row>
    <row r="722">
      <c r="O722" s="5"/>
    </row>
    <row r="723">
      <c r="O723" s="5"/>
    </row>
    <row r="724">
      <c r="O724" s="5"/>
    </row>
    <row r="725">
      <c r="O725" s="5"/>
    </row>
    <row r="726">
      <c r="O726" s="5"/>
    </row>
    <row r="727">
      <c r="O727" s="5"/>
    </row>
    <row r="728">
      <c r="O728" s="5"/>
    </row>
    <row r="729">
      <c r="O729" s="5"/>
    </row>
    <row r="730">
      <c r="O730" s="5"/>
    </row>
    <row r="731">
      <c r="O731" s="5"/>
    </row>
    <row r="732">
      <c r="O732" s="5"/>
    </row>
    <row r="733">
      <c r="O733" s="5"/>
    </row>
    <row r="734">
      <c r="O734" s="5"/>
    </row>
    <row r="735">
      <c r="O735" s="5"/>
    </row>
    <row r="736">
      <c r="O736" s="5"/>
    </row>
    <row r="737">
      <c r="O737" s="5"/>
    </row>
    <row r="738">
      <c r="O738" s="5"/>
    </row>
    <row r="739">
      <c r="O739" s="5"/>
    </row>
    <row r="740">
      <c r="O740" s="5"/>
    </row>
    <row r="741">
      <c r="O741" s="5"/>
    </row>
    <row r="742">
      <c r="O742" s="5"/>
    </row>
    <row r="743">
      <c r="O743" s="5"/>
    </row>
    <row r="744">
      <c r="O744" s="5"/>
    </row>
    <row r="745">
      <c r="O745" s="5"/>
    </row>
    <row r="746">
      <c r="O746" s="5"/>
    </row>
    <row r="747">
      <c r="O747" s="5"/>
    </row>
    <row r="748">
      <c r="O748" s="5"/>
    </row>
    <row r="749">
      <c r="O749" s="5"/>
    </row>
    <row r="750">
      <c r="O750" s="5"/>
    </row>
    <row r="751">
      <c r="O751" s="5"/>
    </row>
    <row r="752">
      <c r="O752" s="5"/>
    </row>
    <row r="753">
      <c r="O753" s="5"/>
    </row>
    <row r="754">
      <c r="O754" s="5"/>
    </row>
    <row r="755">
      <c r="O755" s="5"/>
    </row>
    <row r="756">
      <c r="O756" s="5"/>
    </row>
    <row r="757">
      <c r="O757" s="5"/>
    </row>
    <row r="758">
      <c r="O758" s="5"/>
    </row>
    <row r="759">
      <c r="O759" s="5"/>
    </row>
    <row r="760">
      <c r="O760" s="5"/>
    </row>
    <row r="761">
      <c r="O761" s="5"/>
    </row>
    <row r="762">
      <c r="O762" s="5"/>
    </row>
    <row r="763">
      <c r="O763" s="5"/>
    </row>
    <row r="764">
      <c r="O764" s="5"/>
    </row>
    <row r="765">
      <c r="O765" s="5"/>
    </row>
    <row r="766">
      <c r="O766" s="5"/>
    </row>
    <row r="767">
      <c r="O767" s="5"/>
    </row>
    <row r="768">
      <c r="O768" s="5"/>
    </row>
    <row r="769">
      <c r="O769" s="5"/>
    </row>
    <row r="770">
      <c r="O770" s="5"/>
    </row>
    <row r="771">
      <c r="O771" s="5"/>
    </row>
    <row r="772">
      <c r="O772" s="5"/>
    </row>
    <row r="773">
      <c r="O773" s="5"/>
    </row>
    <row r="774">
      <c r="O774" s="5"/>
    </row>
    <row r="775">
      <c r="O775" s="5"/>
    </row>
    <row r="776">
      <c r="O776" s="5"/>
    </row>
    <row r="777">
      <c r="O777" s="5"/>
    </row>
    <row r="778">
      <c r="O778" s="5"/>
    </row>
    <row r="779">
      <c r="O779" s="5"/>
    </row>
    <row r="780">
      <c r="O780" s="5"/>
    </row>
    <row r="781">
      <c r="O781" s="5"/>
    </row>
    <row r="782">
      <c r="O782" s="5"/>
    </row>
    <row r="783">
      <c r="O783" s="5"/>
    </row>
    <row r="784">
      <c r="O784" s="5"/>
    </row>
    <row r="785">
      <c r="O785" s="5"/>
    </row>
    <row r="786">
      <c r="O786" s="5"/>
    </row>
    <row r="787">
      <c r="O787" s="5"/>
    </row>
    <row r="788">
      <c r="O788" s="5"/>
    </row>
    <row r="789">
      <c r="O789" s="5"/>
    </row>
    <row r="790">
      <c r="O790" s="5"/>
    </row>
    <row r="791">
      <c r="O791" s="5"/>
    </row>
    <row r="792">
      <c r="O792" s="5"/>
    </row>
    <row r="793">
      <c r="O793" s="5"/>
    </row>
    <row r="794">
      <c r="O794" s="5"/>
    </row>
    <row r="795">
      <c r="O795" s="5"/>
    </row>
    <row r="796">
      <c r="O796" s="5"/>
    </row>
    <row r="797">
      <c r="O797" s="5"/>
    </row>
    <row r="798">
      <c r="O798" s="5"/>
    </row>
    <row r="799">
      <c r="O799" s="5"/>
    </row>
    <row r="800">
      <c r="O800" s="5"/>
    </row>
    <row r="801">
      <c r="O801" s="5"/>
    </row>
    <row r="802">
      <c r="O802" s="5"/>
    </row>
    <row r="803">
      <c r="O803" s="5"/>
    </row>
    <row r="804">
      <c r="O804" s="5"/>
    </row>
    <row r="805">
      <c r="O805" s="5"/>
    </row>
    <row r="806">
      <c r="O806" s="5"/>
    </row>
    <row r="807">
      <c r="O807" s="5"/>
    </row>
    <row r="808">
      <c r="O808" s="5"/>
    </row>
    <row r="809">
      <c r="O809" s="5"/>
    </row>
    <row r="810">
      <c r="O810" s="5"/>
    </row>
    <row r="811">
      <c r="O811" s="5"/>
    </row>
    <row r="812">
      <c r="O812" s="5"/>
    </row>
    <row r="813">
      <c r="O813" s="5"/>
    </row>
    <row r="814">
      <c r="O814" s="5"/>
    </row>
    <row r="815">
      <c r="O815" s="5"/>
    </row>
    <row r="816">
      <c r="O816" s="5"/>
    </row>
    <row r="817">
      <c r="O817" s="5"/>
    </row>
    <row r="818">
      <c r="O818" s="5"/>
    </row>
    <row r="819">
      <c r="O819" s="5"/>
    </row>
    <row r="820">
      <c r="O820" s="5"/>
    </row>
    <row r="821">
      <c r="O821" s="5"/>
    </row>
    <row r="822">
      <c r="O822" s="5"/>
    </row>
    <row r="823">
      <c r="O823" s="5"/>
    </row>
    <row r="824">
      <c r="O824" s="5"/>
    </row>
    <row r="825">
      <c r="O825" s="5"/>
    </row>
    <row r="826">
      <c r="O826" s="5"/>
    </row>
    <row r="827">
      <c r="O827" s="5"/>
    </row>
    <row r="828">
      <c r="O828" s="5"/>
    </row>
    <row r="829">
      <c r="O829" s="5"/>
    </row>
    <row r="830">
      <c r="O830" s="5"/>
    </row>
    <row r="831">
      <c r="O831" s="5"/>
    </row>
    <row r="832">
      <c r="O832" s="5"/>
    </row>
    <row r="833">
      <c r="O833" s="5"/>
    </row>
    <row r="834">
      <c r="O834" s="5"/>
    </row>
    <row r="835">
      <c r="O835" s="5"/>
    </row>
    <row r="836">
      <c r="O836" s="5"/>
    </row>
    <row r="837">
      <c r="O837" s="5"/>
    </row>
    <row r="838">
      <c r="O838" s="5"/>
    </row>
    <row r="839">
      <c r="O839" s="5"/>
    </row>
    <row r="840">
      <c r="O840" s="5"/>
    </row>
    <row r="841">
      <c r="O841" s="5"/>
    </row>
    <row r="842">
      <c r="O842" s="5"/>
    </row>
    <row r="843">
      <c r="O843" s="5"/>
    </row>
    <row r="844">
      <c r="O844" s="5"/>
    </row>
    <row r="845">
      <c r="O845" s="5"/>
    </row>
    <row r="846">
      <c r="O846" s="5"/>
    </row>
    <row r="847">
      <c r="O847" s="5"/>
    </row>
    <row r="848">
      <c r="O848" s="5"/>
    </row>
    <row r="849">
      <c r="O849" s="5"/>
    </row>
    <row r="850">
      <c r="O850" s="5"/>
    </row>
    <row r="851">
      <c r="O851" s="5"/>
    </row>
    <row r="852">
      <c r="O852" s="5"/>
    </row>
    <row r="853">
      <c r="O853" s="5"/>
    </row>
    <row r="854">
      <c r="O854" s="5"/>
    </row>
    <row r="855">
      <c r="O855" s="5"/>
    </row>
    <row r="856">
      <c r="O856" s="5"/>
    </row>
    <row r="857">
      <c r="O857" s="5"/>
    </row>
    <row r="858">
      <c r="O858" s="5"/>
    </row>
    <row r="859">
      <c r="O859" s="5"/>
    </row>
    <row r="860">
      <c r="O860" s="5"/>
    </row>
    <row r="861">
      <c r="O861" s="5"/>
    </row>
    <row r="862">
      <c r="O862" s="5"/>
    </row>
    <row r="863">
      <c r="O863" s="5"/>
    </row>
    <row r="864">
      <c r="O864" s="5"/>
    </row>
    <row r="865">
      <c r="O865" s="5"/>
    </row>
    <row r="866">
      <c r="O866" s="5"/>
    </row>
    <row r="867">
      <c r="O867" s="5"/>
    </row>
    <row r="868">
      <c r="O868" s="5"/>
    </row>
    <row r="869">
      <c r="O869" s="5"/>
    </row>
    <row r="870">
      <c r="O870" s="5"/>
    </row>
    <row r="871">
      <c r="O871" s="5"/>
    </row>
    <row r="872">
      <c r="O872" s="5"/>
    </row>
    <row r="873">
      <c r="O873" s="5"/>
    </row>
    <row r="874">
      <c r="O874" s="5"/>
    </row>
    <row r="875">
      <c r="O875" s="5"/>
    </row>
    <row r="876">
      <c r="O876" s="5"/>
    </row>
    <row r="877">
      <c r="O877" s="5"/>
    </row>
    <row r="878">
      <c r="O878" s="5"/>
    </row>
    <row r="879">
      <c r="O879" s="5"/>
    </row>
    <row r="880">
      <c r="O880" s="5"/>
    </row>
    <row r="881">
      <c r="O881" s="5"/>
    </row>
    <row r="882">
      <c r="O882" s="5"/>
    </row>
    <row r="883">
      <c r="O883" s="5"/>
    </row>
    <row r="884">
      <c r="O884" s="5"/>
    </row>
    <row r="885">
      <c r="O885" s="5"/>
    </row>
    <row r="886">
      <c r="O886" s="5"/>
    </row>
    <row r="887">
      <c r="O887" s="5"/>
    </row>
    <row r="888">
      <c r="O888" s="5"/>
    </row>
    <row r="889">
      <c r="O889" s="5"/>
    </row>
    <row r="890">
      <c r="O890" s="5"/>
    </row>
    <row r="891">
      <c r="O891" s="5"/>
    </row>
    <row r="892">
      <c r="O892" s="5"/>
    </row>
    <row r="893">
      <c r="O893" s="5"/>
    </row>
    <row r="894">
      <c r="O894" s="5"/>
    </row>
    <row r="895">
      <c r="O895" s="5"/>
    </row>
    <row r="896">
      <c r="O896" s="5"/>
    </row>
    <row r="897">
      <c r="O897" s="5"/>
    </row>
    <row r="898">
      <c r="O898" s="5"/>
    </row>
    <row r="899">
      <c r="O899" s="5"/>
    </row>
    <row r="900">
      <c r="O900" s="5"/>
    </row>
    <row r="901">
      <c r="O901" s="5"/>
    </row>
    <row r="902">
      <c r="O902" s="5"/>
    </row>
    <row r="903">
      <c r="O903" s="5"/>
    </row>
    <row r="904">
      <c r="O904" s="5"/>
    </row>
    <row r="905">
      <c r="O905" s="5"/>
    </row>
    <row r="906">
      <c r="O906" s="5"/>
    </row>
    <row r="907">
      <c r="O907" s="5"/>
    </row>
    <row r="908">
      <c r="O908" s="5"/>
    </row>
    <row r="909">
      <c r="O909" s="5"/>
    </row>
    <row r="910">
      <c r="O910" s="5"/>
    </row>
    <row r="911">
      <c r="O911" s="5"/>
    </row>
    <row r="912">
      <c r="O912" s="5"/>
    </row>
    <row r="913">
      <c r="O913" s="5"/>
    </row>
    <row r="914">
      <c r="O914" s="5"/>
    </row>
    <row r="915">
      <c r="O915" s="5"/>
    </row>
    <row r="916">
      <c r="O916" s="5"/>
    </row>
    <row r="917">
      <c r="O917" s="5"/>
    </row>
    <row r="918">
      <c r="O918" s="5"/>
    </row>
    <row r="919">
      <c r="O919" s="5"/>
    </row>
    <row r="920">
      <c r="O920" s="5"/>
    </row>
    <row r="921">
      <c r="O921" s="5"/>
    </row>
    <row r="922">
      <c r="O922" s="5"/>
    </row>
    <row r="923">
      <c r="O923" s="5"/>
    </row>
    <row r="924">
      <c r="O924" s="5"/>
    </row>
    <row r="925">
      <c r="O925" s="5"/>
    </row>
    <row r="926">
      <c r="O926" s="5"/>
    </row>
    <row r="927">
      <c r="O927" s="5"/>
    </row>
    <row r="928">
      <c r="O928" s="5"/>
    </row>
    <row r="929">
      <c r="O929" s="5"/>
    </row>
    <row r="930">
      <c r="O930" s="5"/>
    </row>
    <row r="931">
      <c r="O931" s="5"/>
    </row>
    <row r="932">
      <c r="O932" s="5"/>
    </row>
    <row r="933">
      <c r="O933" s="5"/>
    </row>
    <row r="934">
      <c r="O934" s="5"/>
    </row>
    <row r="935">
      <c r="O935" s="5"/>
    </row>
    <row r="936">
      <c r="O936" s="5"/>
    </row>
    <row r="937">
      <c r="O937" s="5"/>
    </row>
    <row r="938">
      <c r="O938" s="5"/>
    </row>
    <row r="939">
      <c r="O939" s="5"/>
    </row>
    <row r="940">
      <c r="O940" s="5"/>
    </row>
    <row r="941">
      <c r="O941" s="5"/>
    </row>
    <row r="942">
      <c r="O942" s="5"/>
    </row>
    <row r="943">
      <c r="O943" s="5"/>
    </row>
    <row r="944">
      <c r="O944" s="5"/>
    </row>
    <row r="945">
      <c r="O945" s="5"/>
    </row>
    <row r="946">
      <c r="O946" s="5"/>
    </row>
    <row r="947">
      <c r="O947" s="5"/>
    </row>
    <row r="948">
      <c r="O948" s="5"/>
    </row>
    <row r="949">
      <c r="O949" s="5"/>
    </row>
    <row r="950">
      <c r="O950" s="5"/>
    </row>
    <row r="951">
      <c r="O951" s="5"/>
    </row>
    <row r="952">
      <c r="O952" s="5"/>
    </row>
    <row r="953">
      <c r="O953" s="5"/>
    </row>
    <row r="954">
      <c r="O954" s="5"/>
    </row>
    <row r="955">
      <c r="O955" s="5"/>
    </row>
    <row r="956">
      <c r="O956" s="5"/>
    </row>
    <row r="957">
      <c r="O957" s="5"/>
    </row>
    <row r="958">
      <c r="O958" s="5"/>
    </row>
    <row r="959">
      <c r="O959" s="5"/>
    </row>
    <row r="960">
      <c r="O960" s="5"/>
    </row>
    <row r="961">
      <c r="O961" s="5"/>
    </row>
    <row r="962">
      <c r="O962" s="5"/>
    </row>
    <row r="963">
      <c r="O963" s="5"/>
    </row>
    <row r="964">
      <c r="O964" s="5"/>
    </row>
    <row r="965">
      <c r="O965" s="5"/>
    </row>
    <row r="966">
      <c r="O966" s="5"/>
    </row>
    <row r="967">
      <c r="O967" s="5"/>
    </row>
    <row r="968">
      <c r="O968" s="5"/>
    </row>
    <row r="969">
      <c r="O969" s="5"/>
    </row>
    <row r="970">
      <c r="O970" s="5"/>
    </row>
    <row r="971">
      <c r="O971" s="5"/>
    </row>
    <row r="972">
      <c r="O972" s="5"/>
    </row>
    <row r="973">
      <c r="O973" s="5"/>
    </row>
    <row r="974">
      <c r="O974" s="5"/>
    </row>
    <row r="975">
      <c r="O975" s="5"/>
    </row>
    <row r="976">
      <c r="O976" s="5"/>
    </row>
    <row r="977">
      <c r="O977" s="5"/>
    </row>
    <row r="978">
      <c r="O978" s="5"/>
    </row>
    <row r="979">
      <c r="O979" s="5"/>
    </row>
    <row r="980">
      <c r="O980" s="5"/>
    </row>
    <row r="981">
      <c r="O981" s="5"/>
    </row>
    <row r="982">
      <c r="O982" s="5"/>
    </row>
    <row r="983">
      <c r="O983" s="5"/>
    </row>
    <row r="984">
      <c r="O984" s="5"/>
    </row>
    <row r="985">
      <c r="O985" s="5"/>
    </row>
    <row r="986">
      <c r="O986" s="5"/>
    </row>
    <row r="987">
      <c r="O987" s="5"/>
    </row>
    <row r="988">
      <c r="O988" s="5"/>
    </row>
    <row r="989">
      <c r="O989" s="5"/>
    </row>
    <row r="990">
      <c r="O990" s="5"/>
    </row>
    <row r="991">
      <c r="O991" s="5"/>
    </row>
    <row r="992">
      <c r="O992" s="5"/>
    </row>
    <row r="993">
      <c r="O993" s="5"/>
    </row>
    <row r="994">
      <c r="O994" s="5"/>
    </row>
    <row r="995">
      <c r="O995" s="5"/>
    </row>
    <row r="996">
      <c r="O996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58</v>
      </c>
      <c r="B1" t="str">
        <f>Sheet1!C1</f>
        <v>start_time</v>
      </c>
      <c r="C1" t="str">
        <f>Sheet1!G1</f>
        <v>end_time</v>
      </c>
      <c r="D1" t="str">
        <f t="shared" ref="D1:F1" si="1">A1</f>
        <v>Day</v>
      </c>
      <c r="E1" t="str">
        <f t="shared" si="1"/>
        <v>start_time</v>
      </c>
      <c r="F1" t="str">
        <f t="shared" si="1"/>
        <v>end_time</v>
      </c>
      <c r="I1" t="str">
        <f>Sheet1!D1</f>
        <v>am_temp</v>
      </c>
      <c r="J1" t="str">
        <f>Sheet1!H1</f>
        <v>pm_temp</v>
      </c>
    </row>
    <row r="2">
      <c r="A2" s="1">
        <v>1.0</v>
      </c>
      <c r="B2" s="5">
        <f>Sheet1!C2</f>
        <v>0.5263888889</v>
      </c>
      <c r="C2" s="5">
        <f>Sheet1!G2</f>
        <v>0.8618055556</v>
      </c>
      <c r="D2">
        <f t="shared" ref="D2:D26" si="2">A2</f>
        <v>1</v>
      </c>
      <c r="E2" s="13">
        <f t="shared" ref="E2:E26" si="3">B2*24</f>
        <v>12.63333333</v>
      </c>
      <c r="F2" s="13">
        <f t="shared" ref="F2:F26" si="4">C2*24-E2</f>
        <v>8.05</v>
      </c>
      <c r="I2">
        <f>Sheet1!D2</f>
        <v>68</v>
      </c>
      <c r="J2">
        <f>Sheet1!H2</f>
        <v>79</v>
      </c>
    </row>
    <row r="3">
      <c r="A3" s="1">
        <v>2.0</v>
      </c>
      <c r="B3" s="5">
        <f>Sheet1!C3</f>
        <v>0.2777777778</v>
      </c>
      <c r="C3" s="5">
        <f>Sheet1!G3</f>
        <v>0.7201388889</v>
      </c>
      <c r="D3">
        <f t="shared" si="2"/>
        <v>2</v>
      </c>
      <c r="E3" s="13">
        <f t="shared" si="3"/>
        <v>6.666666667</v>
      </c>
      <c r="F3" s="13">
        <f t="shared" si="4"/>
        <v>10.61666667</v>
      </c>
      <c r="I3">
        <f>Sheet1!D3</f>
        <v>72</v>
      </c>
      <c r="J3">
        <f>Sheet1!H3</f>
        <v>72</v>
      </c>
    </row>
    <row r="4">
      <c r="A4" s="1">
        <v>3.0</v>
      </c>
      <c r="B4" s="5">
        <f>Sheet1!C4</f>
        <v>0.3076388889</v>
      </c>
      <c r="C4" s="5">
        <f>Sheet1!G4</f>
        <v>0.59375</v>
      </c>
      <c r="D4">
        <f t="shared" si="2"/>
        <v>3</v>
      </c>
      <c r="E4" s="13">
        <f t="shared" si="3"/>
        <v>7.383333333</v>
      </c>
      <c r="F4" s="13">
        <f t="shared" si="4"/>
        <v>6.866666667</v>
      </c>
      <c r="I4">
        <f>Sheet1!D4</f>
        <v>57</v>
      </c>
      <c r="J4">
        <f>Sheet1!H4</f>
        <v>74</v>
      </c>
    </row>
    <row r="5">
      <c r="A5" s="1">
        <v>4.0</v>
      </c>
      <c r="B5" s="5">
        <f>Sheet1!C5</f>
        <v>0.3305555556</v>
      </c>
      <c r="C5" s="5">
        <f>Sheet1!G5</f>
        <v>0.7229166667</v>
      </c>
      <c r="D5">
        <f t="shared" si="2"/>
        <v>4</v>
      </c>
      <c r="E5" s="13">
        <f t="shared" si="3"/>
        <v>7.933333333</v>
      </c>
      <c r="F5" s="13">
        <f t="shared" si="4"/>
        <v>9.416666667</v>
      </c>
      <c r="I5">
        <f>Sheet1!D5</f>
        <v>63</v>
      </c>
      <c r="J5">
        <f>Sheet1!H5</f>
        <v>80</v>
      </c>
    </row>
    <row r="6">
      <c r="A6" s="1">
        <v>5.0</v>
      </c>
      <c r="B6" s="5">
        <f>Sheet1!C6</f>
        <v>0.2736111111</v>
      </c>
      <c r="C6" s="5">
        <f>Sheet1!G6</f>
        <v>0.6118055556</v>
      </c>
      <c r="D6">
        <f t="shared" si="2"/>
        <v>5</v>
      </c>
      <c r="E6" s="13">
        <f t="shared" si="3"/>
        <v>6.566666667</v>
      </c>
      <c r="F6" s="13">
        <f t="shared" si="4"/>
        <v>8.116666667</v>
      </c>
      <c r="I6">
        <f>Sheet1!D6</f>
        <v>57</v>
      </c>
      <c r="J6">
        <f>Sheet1!H6</f>
        <v>86</v>
      </c>
    </row>
    <row r="7">
      <c r="A7" s="1">
        <v>6.0</v>
      </c>
      <c r="B7" s="5">
        <f>Sheet1!C7</f>
        <v>0.3791666667</v>
      </c>
      <c r="C7" s="5">
        <f>Sheet1!G7</f>
        <v>0.6916666667</v>
      </c>
      <c r="D7">
        <f t="shared" si="2"/>
        <v>6</v>
      </c>
      <c r="E7" s="13">
        <f t="shared" si="3"/>
        <v>9.1</v>
      </c>
      <c r="F7" s="13">
        <f t="shared" si="4"/>
        <v>7.5</v>
      </c>
      <c r="I7">
        <f>Sheet1!D7</f>
        <v>66</v>
      </c>
      <c r="J7">
        <f>Sheet1!H7</f>
        <v>75</v>
      </c>
    </row>
    <row r="8">
      <c r="A8" s="1">
        <v>7.0</v>
      </c>
      <c r="B8" s="5">
        <f>Sheet1!C8</f>
        <v>0.3645833333</v>
      </c>
      <c r="C8" s="5">
        <f>Sheet1!G8</f>
        <v>0.7583333333</v>
      </c>
      <c r="D8">
        <f t="shared" si="2"/>
        <v>7</v>
      </c>
      <c r="E8" s="13">
        <f t="shared" si="3"/>
        <v>8.75</v>
      </c>
      <c r="F8" s="13">
        <f t="shared" si="4"/>
        <v>9.45</v>
      </c>
      <c r="I8">
        <f>Sheet1!D8</f>
        <v>67</v>
      </c>
      <c r="J8">
        <f>Sheet1!H8</f>
        <v>78</v>
      </c>
    </row>
    <row r="9">
      <c r="A9" s="1">
        <v>8.0</v>
      </c>
      <c r="B9" s="5">
        <f>Sheet1!C9</f>
        <v>0.4138888889</v>
      </c>
      <c r="C9" s="5">
        <f>Sheet1!G9</f>
        <v>0.6256944444</v>
      </c>
      <c r="D9">
        <f t="shared" si="2"/>
        <v>8</v>
      </c>
      <c r="E9" s="13">
        <f t="shared" si="3"/>
        <v>9.933333333</v>
      </c>
      <c r="F9" s="13">
        <f t="shared" si="4"/>
        <v>5.083333333</v>
      </c>
      <c r="I9">
        <f>Sheet1!D9</f>
        <v>71</v>
      </c>
      <c r="J9">
        <f>Sheet1!H9</f>
        <v>84</v>
      </c>
    </row>
    <row r="10">
      <c r="A10" s="1">
        <v>9.0</v>
      </c>
      <c r="B10" s="5">
        <f>Sheet1!C10</f>
        <v>0.4097222222</v>
      </c>
      <c r="C10" s="5">
        <f>Sheet1!G10</f>
        <v>0.6416666667</v>
      </c>
      <c r="D10">
        <f t="shared" si="2"/>
        <v>9</v>
      </c>
      <c r="E10" s="13">
        <f t="shared" si="3"/>
        <v>9.833333333</v>
      </c>
      <c r="F10" s="13">
        <f t="shared" si="4"/>
        <v>5.566666667</v>
      </c>
      <c r="I10">
        <f>Sheet1!D10</f>
        <v>75</v>
      </c>
      <c r="J10">
        <f>Sheet1!H10</f>
        <v>82</v>
      </c>
    </row>
    <row r="11">
      <c r="A11" s="1">
        <v>10.0</v>
      </c>
      <c r="B11" s="5">
        <f>Sheet1!C11</f>
        <v>0.3729166667</v>
      </c>
      <c r="C11" s="5">
        <f>Sheet1!G11</f>
        <v>0.69375</v>
      </c>
      <c r="D11">
        <f t="shared" si="2"/>
        <v>10</v>
      </c>
      <c r="E11" s="13">
        <f t="shared" si="3"/>
        <v>8.95</v>
      </c>
      <c r="F11" s="13">
        <f t="shared" si="4"/>
        <v>7.7</v>
      </c>
      <c r="I11">
        <f>Sheet1!D11</f>
        <v>72</v>
      </c>
      <c r="J11">
        <f>Sheet1!H11</f>
        <v>71</v>
      </c>
    </row>
    <row r="12">
      <c r="A12" s="1">
        <v>11.0</v>
      </c>
      <c r="B12" s="5">
        <f>Sheet1!C12</f>
        <v>0.31875</v>
      </c>
      <c r="C12" s="5">
        <f>Sheet1!G12</f>
        <v>0.6444444444</v>
      </c>
      <c r="D12">
        <f t="shared" si="2"/>
        <v>11</v>
      </c>
      <c r="E12" s="13">
        <f t="shared" si="3"/>
        <v>7.65</v>
      </c>
      <c r="F12" s="13">
        <f t="shared" si="4"/>
        <v>7.816666667</v>
      </c>
      <c r="I12">
        <f>Sheet1!D12</f>
        <v>47</v>
      </c>
      <c r="J12">
        <f>Sheet1!H12</f>
        <v>86</v>
      </c>
    </row>
    <row r="13">
      <c r="A13" s="1">
        <v>12.0</v>
      </c>
      <c r="B13" s="5">
        <f>Sheet1!C13</f>
        <v>0.3868055556</v>
      </c>
      <c r="C13" s="5">
        <f>Sheet1!G13</f>
        <v>0.65625</v>
      </c>
      <c r="D13">
        <f t="shared" si="2"/>
        <v>12</v>
      </c>
      <c r="E13" s="13">
        <f t="shared" si="3"/>
        <v>9.283333333</v>
      </c>
      <c r="F13" s="13">
        <f t="shared" si="4"/>
        <v>6.466666667</v>
      </c>
      <c r="I13">
        <f>Sheet1!D13</f>
        <v>76</v>
      </c>
      <c r="J13">
        <f>Sheet1!H13</f>
        <v>88</v>
      </c>
    </row>
    <row r="14">
      <c r="A14" s="1">
        <v>13.0</v>
      </c>
      <c r="B14" s="5">
        <f>Sheet1!C14</f>
        <v>0.3819444444</v>
      </c>
      <c r="C14" s="5">
        <f>Sheet1!G14</f>
        <v>0.6208333333</v>
      </c>
      <c r="D14">
        <f t="shared" si="2"/>
        <v>13</v>
      </c>
      <c r="E14" s="13">
        <f t="shared" si="3"/>
        <v>9.166666667</v>
      </c>
      <c r="F14" s="13">
        <f t="shared" si="4"/>
        <v>5.733333333</v>
      </c>
      <c r="I14">
        <f>Sheet1!D14</f>
        <v>76</v>
      </c>
      <c r="J14">
        <f>Sheet1!H14</f>
        <v>93</v>
      </c>
    </row>
    <row r="15">
      <c r="A15" s="1">
        <v>14.0</v>
      </c>
      <c r="B15" s="5">
        <f>Sheet1!C15</f>
        <v>0.3736111111</v>
      </c>
      <c r="C15" s="5">
        <f>Sheet1!G15</f>
        <v>0.6736111111</v>
      </c>
      <c r="D15">
        <f t="shared" si="2"/>
        <v>14</v>
      </c>
      <c r="E15" s="13">
        <f t="shared" si="3"/>
        <v>8.966666667</v>
      </c>
      <c r="F15" s="13">
        <f t="shared" si="4"/>
        <v>7.2</v>
      </c>
      <c r="I15">
        <f>Sheet1!D15</f>
        <v>78</v>
      </c>
      <c r="J15">
        <f>Sheet1!H15</f>
        <v>91</v>
      </c>
    </row>
    <row r="16">
      <c r="A16" s="1">
        <v>15.0</v>
      </c>
      <c r="B16" s="5">
        <f>Sheet1!C16</f>
        <v>0.3520833333</v>
      </c>
      <c r="C16" s="5">
        <f>Sheet1!G16</f>
        <v>0.7666666667</v>
      </c>
      <c r="D16">
        <f t="shared" si="2"/>
        <v>15</v>
      </c>
      <c r="E16" s="13">
        <f t="shared" si="3"/>
        <v>8.45</v>
      </c>
      <c r="F16" s="13">
        <f t="shared" si="4"/>
        <v>9.95</v>
      </c>
      <c r="I16">
        <f>Sheet1!D16</f>
        <v>67</v>
      </c>
      <c r="J16">
        <f>Sheet1!H16</f>
        <v>79</v>
      </c>
    </row>
    <row r="17">
      <c r="A17" s="1">
        <v>16.0</v>
      </c>
      <c r="B17" s="5">
        <f>Sheet1!C17</f>
        <v>0.3423611111</v>
      </c>
      <c r="C17" s="5">
        <f>Sheet1!G17</f>
        <v>0.6944444444</v>
      </c>
      <c r="D17">
        <f t="shared" si="2"/>
        <v>16</v>
      </c>
      <c r="E17" s="13">
        <f t="shared" si="3"/>
        <v>8.216666667</v>
      </c>
      <c r="F17" s="13">
        <f t="shared" si="4"/>
        <v>8.45</v>
      </c>
      <c r="I17">
        <f>Sheet1!D17</f>
        <v>79</v>
      </c>
      <c r="J17">
        <f>Sheet1!H17</f>
        <v>90</v>
      </c>
    </row>
    <row r="18">
      <c r="A18" s="1">
        <v>17.0</v>
      </c>
      <c r="B18" s="5">
        <f>Sheet1!C18</f>
        <v>0.3819444444</v>
      </c>
      <c r="C18" s="5">
        <f>Sheet1!G18</f>
        <v>0.6347222222</v>
      </c>
      <c r="D18">
        <f t="shared" si="2"/>
        <v>17</v>
      </c>
      <c r="E18" s="13">
        <f t="shared" si="3"/>
        <v>9.166666667</v>
      </c>
      <c r="F18" s="13">
        <f t="shared" si="4"/>
        <v>6.066666667</v>
      </c>
      <c r="I18">
        <f>Sheet1!D18</f>
        <v>83</v>
      </c>
      <c r="J18">
        <f>Sheet1!H18</f>
        <v>85</v>
      </c>
    </row>
    <row r="19">
      <c r="A19" s="1">
        <v>18.0</v>
      </c>
      <c r="B19" s="5">
        <f>Sheet1!C19</f>
        <v>0.3305555556</v>
      </c>
      <c r="C19" s="5">
        <f>Sheet1!G19</f>
        <v>0.6694444444</v>
      </c>
      <c r="D19">
        <f t="shared" si="2"/>
        <v>18</v>
      </c>
      <c r="E19" s="13">
        <f t="shared" si="3"/>
        <v>7.933333333</v>
      </c>
      <c r="F19" s="13">
        <f t="shared" si="4"/>
        <v>8.133333333</v>
      </c>
      <c r="I19">
        <f>Sheet1!D19</f>
        <v>73</v>
      </c>
      <c r="J19">
        <f>Sheet1!H19</f>
        <v>93</v>
      </c>
    </row>
    <row r="20">
      <c r="A20" s="1">
        <v>19.0</v>
      </c>
      <c r="B20" s="5">
        <f>Sheet1!C20</f>
        <v>0.3611111111</v>
      </c>
      <c r="C20" s="5">
        <f>Sheet1!G20</f>
        <v>0.7152777778</v>
      </c>
      <c r="D20">
        <f t="shared" si="2"/>
        <v>19</v>
      </c>
      <c r="E20" s="13">
        <f t="shared" si="3"/>
        <v>8.666666667</v>
      </c>
      <c r="F20" s="13">
        <f t="shared" si="4"/>
        <v>8.5</v>
      </c>
      <c r="I20">
        <f>Sheet1!D20</f>
        <v>83</v>
      </c>
      <c r="J20">
        <f>Sheet1!H20</f>
        <v>87</v>
      </c>
    </row>
    <row r="21">
      <c r="A21" s="1">
        <v>20.0</v>
      </c>
      <c r="B21" s="5">
        <f>Sheet1!C21</f>
        <v>0.3861111111</v>
      </c>
      <c r="C21" s="5">
        <f>Sheet1!G21</f>
        <v>0.5513888889</v>
      </c>
      <c r="D21">
        <f t="shared" si="2"/>
        <v>20</v>
      </c>
      <c r="E21" s="13">
        <f t="shared" si="3"/>
        <v>9.266666667</v>
      </c>
      <c r="F21" s="13">
        <f t="shared" si="4"/>
        <v>3.966666667</v>
      </c>
      <c r="I21">
        <f>Sheet1!D21</f>
        <v>81</v>
      </c>
      <c r="J21">
        <f>Sheet1!H21</f>
        <v>87</v>
      </c>
    </row>
    <row r="22">
      <c r="A22" s="1">
        <v>21.0</v>
      </c>
      <c r="B22" s="5">
        <f>Sheet1!C22</f>
        <v>0.2895833333</v>
      </c>
      <c r="C22" s="5">
        <f>Sheet1!G22</f>
        <v>0.7034722222</v>
      </c>
      <c r="D22">
        <f t="shared" si="2"/>
        <v>21</v>
      </c>
      <c r="E22" s="13">
        <f t="shared" si="3"/>
        <v>6.95</v>
      </c>
      <c r="F22" s="13">
        <f t="shared" si="4"/>
        <v>9.933333333</v>
      </c>
      <c r="I22">
        <f>Sheet1!D22</f>
        <v>67</v>
      </c>
      <c r="J22">
        <f>Sheet1!H22</f>
        <v>96</v>
      </c>
    </row>
    <row r="23">
      <c r="A23" s="1">
        <v>22.0</v>
      </c>
      <c r="B23" s="5">
        <f>Sheet1!C23</f>
        <v>0.3319444444</v>
      </c>
      <c r="C23" s="5">
        <f>Sheet1!G23</f>
        <v>0.7590277778</v>
      </c>
      <c r="D23">
        <f t="shared" si="2"/>
        <v>22</v>
      </c>
      <c r="E23" s="13">
        <f t="shared" si="3"/>
        <v>7.966666667</v>
      </c>
      <c r="F23" s="13">
        <f t="shared" si="4"/>
        <v>10.25</v>
      </c>
      <c r="I23">
        <f>Sheet1!D23</f>
        <v>72</v>
      </c>
      <c r="J23">
        <f>Sheet1!H23</f>
        <v>101</v>
      </c>
    </row>
    <row r="24">
      <c r="A24" s="1">
        <v>23.0</v>
      </c>
      <c r="B24" s="5">
        <f>Sheet1!C24</f>
        <v>0.3243055556</v>
      </c>
      <c r="C24" s="5">
        <f>Sheet1!G24</f>
        <v>0.6229166667</v>
      </c>
      <c r="D24">
        <f t="shared" si="2"/>
        <v>23</v>
      </c>
      <c r="E24" s="13">
        <f t="shared" si="3"/>
        <v>7.783333333</v>
      </c>
      <c r="F24" s="13">
        <f t="shared" si="4"/>
        <v>7.166666667</v>
      </c>
      <c r="I24">
        <f>Sheet1!D24</f>
        <v>83</v>
      </c>
      <c r="J24">
        <f>Sheet1!H24</f>
        <v>107</v>
      </c>
    </row>
    <row r="25">
      <c r="A25" s="1">
        <v>24.0</v>
      </c>
      <c r="B25" s="5">
        <f>Sheet1!C25</f>
        <v>0.3118055556</v>
      </c>
      <c r="C25" s="5">
        <f>Sheet1!G25</f>
        <v>0.5020833333</v>
      </c>
      <c r="D25">
        <f t="shared" si="2"/>
        <v>24</v>
      </c>
      <c r="E25" s="13">
        <f t="shared" si="3"/>
        <v>7.483333333</v>
      </c>
      <c r="F25" s="13">
        <f t="shared" si="4"/>
        <v>4.566666667</v>
      </c>
      <c r="I25">
        <f>Sheet1!D25</f>
        <v>85</v>
      </c>
      <c r="J25">
        <f>Sheet1!H25</f>
        <v>98</v>
      </c>
    </row>
    <row r="26">
      <c r="A26" s="1">
        <v>25.0</v>
      </c>
      <c r="B26" s="5">
        <f>Sheet1!C26</f>
        <v>0.3506944444</v>
      </c>
      <c r="C26" s="5">
        <f>Sheet1!G26</f>
        <v>0.475</v>
      </c>
      <c r="D26">
        <f t="shared" si="2"/>
        <v>25</v>
      </c>
      <c r="E26" s="13">
        <f t="shared" si="3"/>
        <v>8.416666667</v>
      </c>
      <c r="F26" s="13">
        <f t="shared" si="4"/>
        <v>2.983333333</v>
      </c>
      <c r="I26">
        <f>Sheet1!D26</f>
        <v>88</v>
      </c>
      <c r="J26">
        <f>Sheet1!H26</f>
        <v>75</v>
      </c>
    </row>
  </sheetData>
  <drawing r:id="rId1"/>
</worksheet>
</file>