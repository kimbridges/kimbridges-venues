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 Log" sheetId="1" r:id="rId4"/>
    <sheet state="visible" name="Locations" sheetId="2" r:id="rId5"/>
    <sheet state="visible" name="Trip Log" sheetId="3" r:id="rId6"/>
    <sheet state="visible" name="Canada2014" sheetId="4" r:id="rId7"/>
  </sheets>
  <definedNames/>
  <calcPr/>
</workbook>
</file>

<file path=xl/sharedStrings.xml><?xml version="1.0" encoding="utf-8"?>
<sst xmlns="http://schemas.openxmlformats.org/spreadsheetml/2006/main" count="1404" uniqueCount="404">
  <si>
    <t>Timestamp</t>
  </si>
  <si>
    <t>City</t>
  </si>
  <si>
    <t>State</t>
  </si>
  <si>
    <t>Brand</t>
  </si>
  <si>
    <t>Price/Gallon</t>
  </si>
  <si>
    <t>Odometer</t>
  </si>
  <si>
    <t>Gallons</t>
  </si>
  <si>
    <t>Price</t>
  </si>
  <si>
    <t>Miles</t>
  </si>
  <si>
    <t>Miles/Gallon</t>
  </si>
  <si>
    <t>Total Fuel Cost</t>
  </si>
  <si>
    <t>Total Gallons</t>
  </si>
  <si>
    <t>MPG</t>
  </si>
  <si>
    <t>$/mile</t>
  </si>
  <si>
    <t>Notes</t>
  </si>
  <si>
    <t>MPG last 5</t>
  </si>
  <si>
    <t>San Diego</t>
  </si>
  <si>
    <t>California</t>
  </si>
  <si>
    <t>Dealer</t>
  </si>
  <si>
    <t>Total Miles</t>
  </si>
  <si>
    <t>San Marcos</t>
  </si>
  <si>
    <t>Shell</t>
  </si>
  <si>
    <t>Average Fill (gallons)</t>
  </si>
  <si>
    <t>Campo</t>
  </si>
  <si>
    <t>Golden Acorn</t>
  </si>
  <si>
    <t>Number of Fill-ups</t>
  </si>
  <si>
    <t>Eloy</t>
  </si>
  <si>
    <t>Arizona</t>
  </si>
  <si>
    <t>Flying J</t>
  </si>
  <si>
    <t>Average Miles to Fill</t>
  </si>
  <si>
    <t>Deming</t>
  </si>
  <si>
    <t>Fina</t>
  </si>
  <si>
    <t>Pecos</t>
  </si>
  <si>
    <t>Texas</t>
  </si>
  <si>
    <t>Total Fuel (gallons)</t>
  </si>
  <si>
    <t>Abilene</t>
  </si>
  <si>
    <t>Overall MPG</t>
  </si>
  <si>
    <t>(adjust with new data)</t>
  </si>
  <si>
    <t>Flower Mound</t>
  </si>
  <si>
    <t>RaceTrac</t>
  </si>
  <si>
    <t>Best MPG (last 5)</t>
  </si>
  <si>
    <t>Blackwell</t>
  </si>
  <si>
    <t>Oklahoma</t>
  </si>
  <si>
    <t>Most expensive fuel</t>
  </si>
  <si>
    <t>Matfield Green</t>
  </si>
  <si>
    <t>Kansas</t>
  </si>
  <si>
    <t>Least expensive fuel</t>
  </si>
  <si>
    <t>Most vs Least</t>
  </si>
  <si>
    <t>St. Louis</t>
  </si>
  <si>
    <t>Missouri</t>
  </si>
  <si>
    <t>Conoco</t>
  </si>
  <si>
    <t>Dale</t>
  </si>
  <si>
    <t>Indiana</t>
  </si>
  <si>
    <t>Barboursville</t>
  </si>
  <si>
    <t>West Virginia</t>
  </si>
  <si>
    <t>Sheetz</t>
  </si>
  <si>
    <t>Hillsville</t>
  </si>
  <si>
    <t>Virginia</t>
  </si>
  <si>
    <t>Liberty</t>
  </si>
  <si>
    <t>Waynesboro</t>
  </si>
  <si>
    <t>Sunoco</t>
  </si>
  <si>
    <t>Gettysburg</t>
  </si>
  <si>
    <t>Pennsylvania</t>
  </si>
  <si>
    <t>Danbury</t>
  </si>
  <si>
    <t>Connecticut</t>
  </si>
  <si>
    <t>Mobil</t>
  </si>
  <si>
    <t>Charlton</t>
  </si>
  <si>
    <t>Massachusetts</t>
  </si>
  <si>
    <t>Gulf</t>
  </si>
  <si>
    <t>Austinburg</t>
  </si>
  <si>
    <t>Ohio</t>
  </si>
  <si>
    <t>Warren</t>
  </si>
  <si>
    <t>Dayton</t>
  </si>
  <si>
    <t>Marathon</t>
  </si>
  <si>
    <t>Altamont</t>
  </si>
  <si>
    <t>Illinois</t>
  </si>
  <si>
    <t>Effingham</t>
  </si>
  <si>
    <t>Springfield</t>
  </si>
  <si>
    <t>Middleton</t>
  </si>
  <si>
    <t>Newburg</t>
  </si>
  <si>
    <t>Pittsburgh</t>
  </si>
  <si>
    <t>Summerville</t>
  </si>
  <si>
    <t>Bessemer</t>
  </si>
  <si>
    <t>North Carolina</t>
  </si>
  <si>
    <t>Exxon</t>
  </si>
  <si>
    <t>Villa Rica</t>
  </si>
  <si>
    <t>Georgia</t>
  </si>
  <si>
    <t>Tupelo</t>
  </si>
  <si>
    <t>Mississippi</t>
  </si>
  <si>
    <t>Love</t>
  </si>
  <si>
    <t>Bryant</t>
  </si>
  <si>
    <t>Arkansas</t>
  </si>
  <si>
    <t>Superstop</t>
  </si>
  <si>
    <t>Mt Pleasant</t>
  </si>
  <si>
    <t>Weatherford</t>
  </si>
  <si>
    <t>Big Springs</t>
  </si>
  <si>
    <t>Carlsbad</t>
  </si>
  <si>
    <t>New Mexico</t>
  </si>
  <si>
    <t>Ruidosa</t>
  </si>
  <si>
    <t>Circle K</t>
  </si>
  <si>
    <t>Willcox</t>
  </si>
  <si>
    <t>Dateland</t>
  </si>
  <si>
    <t>Texaco</t>
  </si>
  <si>
    <t>El Cajon</t>
  </si>
  <si>
    <t>Chevron</t>
  </si>
  <si>
    <t>64F @ 2:25PM</t>
  </si>
  <si>
    <t>62F @ 1:57PM</t>
  </si>
  <si>
    <t>El Centro</t>
  </si>
  <si>
    <t>USA Gasoline</t>
  </si>
  <si>
    <t>65F @ 4:32PM</t>
  </si>
  <si>
    <t>LaQuinta</t>
  </si>
  <si>
    <t>66F @ 9:27AM</t>
  </si>
  <si>
    <t>49F @ 8:13PM</t>
  </si>
  <si>
    <t>Santa Cleritos</t>
  </si>
  <si>
    <t>61F @ 8:10AM</t>
  </si>
  <si>
    <t>Santa Nella</t>
  </si>
  <si>
    <t>TA</t>
  </si>
  <si>
    <t>85F @ 1:51PM</t>
  </si>
  <si>
    <t>Cloverdale</t>
  </si>
  <si>
    <t>68F @ 11:21AM</t>
  </si>
  <si>
    <t>Klamath</t>
  </si>
  <si>
    <t>Pemamec Fuel Mart</t>
  </si>
  <si>
    <t>56F @ 11:08AM</t>
  </si>
  <si>
    <t>Healdsburg</t>
  </si>
  <si>
    <t>Rotten Robbie</t>
  </si>
  <si>
    <t>76F @ 10:24AM</t>
  </si>
  <si>
    <t>San Louis Obispo</t>
  </si>
  <si>
    <t>58F @ 3:43PM</t>
  </si>
  <si>
    <t>Laguna Hills</t>
  </si>
  <si>
    <t>Union 76</t>
  </si>
  <si>
    <t>72F @ 4:15PM</t>
  </si>
  <si>
    <t>Ludlow</t>
  </si>
  <si>
    <t>Ash Fork</t>
  </si>
  <si>
    <t>Gallup</t>
  </si>
  <si>
    <t>Loves</t>
  </si>
  <si>
    <t>Santa Rosa</t>
  </si>
  <si>
    <t>Memphis</t>
  </si>
  <si>
    <t>Aledo</t>
  </si>
  <si>
    <t>Valero</t>
  </si>
  <si>
    <t xml:space="preserve">Spring </t>
  </si>
  <si>
    <t>Grosse Tete</t>
  </si>
  <si>
    <t>Louisiana</t>
  </si>
  <si>
    <t>Tiger</t>
  </si>
  <si>
    <t>Pickens</t>
  </si>
  <si>
    <t>BP</t>
  </si>
  <si>
    <t>Turrell</t>
  </si>
  <si>
    <t>Citgo</t>
  </si>
  <si>
    <t>Arnold</t>
  </si>
  <si>
    <t>Phillips 66</t>
  </si>
  <si>
    <t>University City</t>
  </si>
  <si>
    <t>Boonville</t>
  </si>
  <si>
    <t>Topeka</t>
  </si>
  <si>
    <t>Ellis</t>
  </si>
  <si>
    <t>Flagler</t>
  </si>
  <si>
    <t>Colorado</t>
  </si>
  <si>
    <t>Conex</t>
  </si>
  <si>
    <t>Glenwood Springs</t>
  </si>
  <si>
    <t>Moab</t>
  </si>
  <si>
    <t>Utah</t>
  </si>
  <si>
    <t>Green River</t>
  </si>
  <si>
    <t>Silver Eagle</t>
  </si>
  <si>
    <t>Cedar City</t>
  </si>
  <si>
    <t>Las Vegas</t>
  </si>
  <si>
    <t>Nevada</t>
  </si>
  <si>
    <t>Barstow</t>
  </si>
  <si>
    <t>Signal Hill</t>
  </si>
  <si>
    <t>Goleta</t>
  </si>
  <si>
    <t>World</t>
  </si>
  <si>
    <t>Coarse Gold</t>
  </si>
  <si>
    <t>Yellowstone</t>
  </si>
  <si>
    <t>Big Pine</t>
  </si>
  <si>
    <t>Lake San Marcos</t>
  </si>
  <si>
    <t>Yuma</t>
  </si>
  <si>
    <t>Tucson</t>
  </si>
  <si>
    <t>Las Cruces</t>
  </si>
  <si>
    <t>Van Horn</t>
  </si>
  <si>
    <t>Colorado City</t>
  </si>
  <si>
    <t>Stripes</t>
  </si>
  <si>
    <t>Ft. Worth</t>
  </si>
  <si>
    <t>Blythe</t>
  </si>
  <si>
    <t>Phoenix</t>
  </si>
  <si>
    <t>Sedona</t>
  </si>
  <si>
    <t>Flagstaff</t>
  </si>
  <si>
    <t>Kingman</t>
  </si>
  <si>
    <t>Pilot</t>
  </si>
  <si>
    <t>Evanston</t>
  </si>
  <si>
    <t>Wyoming</t>
  </si>
  <si>
    <t>Rawlins</t>
  </si>
  <si>
    <t>Douglas</t>
  </si>
  <si>
    <t>Sinclair</t>
  </si>
  <si>
    <t>Bridgeport</t>
  </si>
  <si>
    <t>Nebraska</t>
  </si>
  <si>
    <t>Ampride</t>
  </si>
  <si>
    <t>York</t>
  </si>
  <si>
    <t>Petro</t>
  </si>
  <si>
    <t>Pleasant Hill</t>
  </si>
  <si>
    <t>Iowa</t>
  </si>
  <si>
    <t>Hy-Vee</t>
  </si>
  <si>
    <t>Bowling Green</t>
  </si>
  <si>
    <t>Champaign</t>
  </si>
  <si>
    <t>5/31/0202</t>
  </si>
  <si>
    <t>Richmond</t>
  </si>
  <si>
    <t>Morgantown</t>
  </si>
  <si>
    <t>Clyde</t>
  </si>
  <si>
    <t>Jackson</t>
  </si>
  <si>
    <t>Michigan</t>
  </si>
  <si>
    <t>Madison</t>
  </si>
  <si>
    <t>Wisconsin</t>
  </si>
  <si>
    <t>Road Ranger</t>
  </si>
  <si>
    <t>Hudson</t>
  </si>
  <si>
    <t>Rothsay</t>
  </si>
  <si>
    <t>Minnesota</t>
  </si>
  <si>
    <t>Tessoro</t>
  </si>
  <si>
    <t>Bismarck</t>
  </si>
  <si>
    <t>North Dakota</t>
  </si>
  <si>
    <t>Beach</t>
  </si>
  <si>
    <t>Billings</t>
  </si>
  <si>
    <t>Montana</t>
  </si>
  <si>
    <t>Livingston</t>
  </si>
  <si>
    <t>Pocatello</t>
  </si>
  <si>
    <t>Idaho</t>
  </si>
  <si>
    <t>Scipio</t>
  </si>
  <si>
    <t>St. George</t>
  </si>
  <si>
    <t>Leucadia</t>
  </si>
  <si>
    <t>Kramer Junction</t>
  </si>
  <si>
    <t>Death Valley</t>
  </si>
  <si>
    <t>Stove Pipe Fuel</t>
  </si>
  <si>
    <t>Regular Gas</t>
  </si>
  <si>
    <t>Mt Shasta</t>
  </si>
  <si>
    <t>Reedsport</t>
  </si>
  <si>
    <t>Oregon</t>
  </si>
  <si>
    <t>Raymond</t>
  </si>
  <si>
    <t>Washington</t>
  </si>
  <si>
    <t>Bellingham</t>
  </si>
  <si>
    <t>Arco</t>
  </si>
  <si>
    <t>Haines Junction</t>
  </si>
  <si>
    <t>Yukon</t>
  </si>
  <si>
    <t>Petro Express</t>
  </si>
  <si>
    <t>Canada (convtd)</t>
  </si>
  <si>
    <t>Tok</t>
  </si>
  <si>
    <t>Alaska</t>
  </si>
  <si>
    <t>Fairbanks</t>
  </si>
  <si>
    <t>Tesoro</t>
  </si>
  <si>
    <t>Yukon River Crossing</t>
  </si>
  <si>
    <t>No Brand</t>
  </si>
  <si>
    <t>Ester</t>
  </si>
  <si>
    <t>Trapper Creek</t>
  </si>
  <si>
    <t>Sterling</t>
  </si>
  <si>
    <t>Homer</t>
  </si>
  <si>
    <t>Baycrest</t>
  </si>
  <si>
    <t>Lakewood</t>
  </si>
  <si>
    <t>Oakland</t>
  </si>
  <si>
    <t>Redding</t>
  </si>
  <si>
    <t>San Mateo</t>
  </si>
  <si>
    <t>Morro Bay</t>
  </si>
  <si>
    <t>Partial fill-up</t>
  </si>
  <si>
    <t>Williams</t>
  </si>
  <si>
    <t>Holbrook</t>
  </si>
  <si>
    <t>Ozona</t>
  </si>
  <si>
    <t>San Antonio</t>
  </si>
  <si>
    <t>Beaumont</t>
  </si>
  <si>
    <t>New Orleans</t>
  </si>
  <si>
    <t>Atmore</t>
  </si>
  <si>
    <t>Alabama</t>
  </si>
  <si>
    <t>Trussville</t>
  </si>
  <si>
    <t>Madisonville</t>
  </si>
  <si>
    <t>Tennessee</t>
  </si>
  <si>
    <t>Conover</t>
  </si>
  <si>
    <t>Murphy USA</t>
  </si>
  <si>
    <t>Colonial Heights</t>
  </si>
  <si>
    <t>WaWa</t>
  </si>
  <si>
    <t>Bellmawr</t>
  </si>
  <si>
    <t>New Jersey</t>
  </si>
  <si>
    <t>Lebanon</t>
  </si>
  <si>
    <t>New Hampshire</t>
  </si>
  <si>
    <t>Yarmouth</t>
  </si>
  <si>
    <t>Maine</t>
  </si>
  <si>
    <t>Calais</t>
  </si>
  <si>
    <t>regular, partial</t>
  </si>
  <si>
    <t>Missoula</t>
  </si>
  <si>
    <t>PDQ Chevron</t>
  </si>
  <si>
    <t>Canyon City</t>
  </si>
  <si>
    <t>Alturas</t>
  </si>
  <si>
    <t>Landcaster</t>
  </si>
  <si>
    <t>CostCo</t>
  </si>
  <si>
    <t>Crosbyton</t>
  </si>
  <si>
    <t>Vaughn</t>
  </si>
  <si>
    <t>Hesperia</t>
  </si>
  <si>
    <t>Lake Havasu</t>
  </si>
  <si>
    <t>Parker</t>
  </si>
  <si>
    <t>Union76</t>
  </si>
  <si>
    <t>South Pasadena</t>
  </si>
  <si>
    <t>Palo Verde</t>
  </si>
  <si>
    <t>Wheelies</t>
  </si>
  <si>
    <t>Seligman</t>
  </si>
  <si>
    <t>Quartzite</t>
  </si>
  <si>
    <t>Valeor</t>
  </si>
  <si>
    <t>Winslow</t>
  </si>
  <si>
    <t>Monticello</t>
  </si>
  <si>
    <t>Gypsum</t>
  </si>
  <si>
    <t>Lincoln</t>
  </si>
  <si>
    <t>Burlington</t>
  </si>
  <si>
    <t>Hy-Vse</t>
  </si>
  <si>
    <t>Mt Vernon</t>
  </si>
  <si>
    <t>Goodlettsville</t>
  </si>
  <si>
    <t>London</t>
  </si>
  <si>
    <t>Kentucky</t>
  </si>
  <si>
    <t>Ft. Oglethorpe</t>
  </si>
  <si>
    <t>Cherokee</t>
  </si>
  <si>
    <t>Pikeville</t>
  </si>
  <si>
    <t>Speedway</t>
  </si>
  <si>
    <t>Lewisburg</t>
  </si>
  <si>
    <t>Chesapeake</t>
  </si>
  <si>
    <t>Morehead City</t>
  </si>
  <si>
    <t>Mount Pleasant</t>
  </si>
  <si>
    <t>South Carolina</t>
  </si>
  <si>
    <t>McMinnville</t>
  </si>
  <si>
    <t>Carterville</t>
  </si>
  <si>
    <t>Hucks</t>
  </si>
  <si>
    <t>Junction City</t>
  </si>
  <si>
    <t>Oakley</t>
  </si>
  <si>
    <t>Watkins</t>
  </si>
  <si>
    <t>Callifornia</t>
  </si>
  <si>
    <t>4th crossing final fillup</t>
  </si>
  <si>
    <t>Santa Cruz</t>
  </si>
  <si>
    <t>Piercy</t>
  </si>
  <si>
    <t>Patriot</t>
  </si>
  <si>
    <t>Coos Bay</t>
  </si>
  <si>
    <t>TwoRed in Eugene</t>
  </si>
  <si>
    <t>Drain</t>
  </si>
  <si>
    <t>Crescent City</t>
  </si>
  <si>
    <t>Paso Robles</t>
  </si>
  <si>
    <t>San Bernardino</t>
  </si>
  <si>
    <t>Oxnard</t>
  </si>
  <si>
    <t>Gilroy</t>
  </si>
  <si>
    <t>Ft Bragg</t>
  </si>
  <si>
    <t>Brookings</t>
  </si>
  <si>
    <t>Fred Myers</t>
  </si>
  <si>
    <t>Eugene</t>
  </si>
  <si>
    <t>Toledo</t>
  </si>
  <si>
    <t>Last Mainland</t>
  </si>
  <si>
    <t>LOOK AT DATA SPAN</t>
  </si>
  <si>
    <t>4th Crossing</t>
  </si>
  <si>
    <t>average</t>
  </si>
  <si>
    <t>fuel stops</t>
  </si>
  <si>
    <t>Average fill-up</t>
  </si>
  <si>
    <t>Date</t>
  </si>
  <si>
    <t>Timber River</t>
  </si>
  <si>
    <t>New Brunswick</t>
  </si>
  <si>
    <t>Belle Cote</t>
  </si>
  <si>
    <t>Nova Scotia</t>
  </si>
  <si>
    <t>Sydney Mines</t>
  </si>
  <si>
    <t>Corner Brook</t>
  </si>
  <si>
    <t>Newfoundland</t>
  </si>
  <si>
    <t>Woody Point</t>
  </si>
  <si>
    <t>Port Aux Basques</t>
  </si>
  <si>
    <t>Aulac</t>
  </si>
  <si>
    <t>Beardsley</t>
  </si>
  <si>
    <t>St. Jean-Pont Joli</t>
  </si>
  <si>
    <t>Quebec</t>
  </si>
  <si>
    <t>Saint Lazare</t>
  </si>
  <si>
    <t>North Bay</t>
  </si>
  <si>
    <t>Ontario</t>
  </si>
  <si>
    <t>Sault St. Marie</t>
  </si>
  <si>
    <t>Wawa</t>
  </si>
  <si>
    <t>Shuniah</t>
  </si>
  <si>
    <t>Dryden</t>
  </si>
  <si>
    <t>Brandon</t>
  </si>
  <si>
    <t>Manitoba</t>
  </si>
  <si>
    <t>Regina</t>
  </si>
  <si>
    <t>Saskatchwan</t>
  </si>
  <si>
    <t>Maple Creek</t>
  </si>
  <si>
    <t>Blairmore</t>
  </si>
  <si>
    <t>Alberta</t>
  </si>
  <si>
    <t>Strt Time</t>
  </si>
  <si>
    <t>Temp</t>
  </si>
  <si>
    <t>ODO</t>
  </si>
  <si>
    <t>End Time</t>
  </si>
  <si>
    <t>CIty</t>
  </si>
  <si>
    <t>Note</t>
  </si>
  <si>
    <t>End of desert trip</t>
  </si>
  <si>
    <t>Livermore</t>
  </si>
  <si>
    <t>Start NoCal trip</t>
  </si>
  <si>
    <t>Trinidad</t>
  </si>
  <si>
    <t>5/8/0201</t>
  </si>
  <si>
    <t>San Luis Obispo</t>
  </si>
  <si>
    <t>End of NoCal trip</t>
  </si>
  <si>
    <t>Province</t>
  </si>
  <si>
    <t>CN$/liter</t>
  </si>
  <si>
    <t>Liters</t>
  </si>
  <si>
    <t>$CN</t>
  </si>
  <si>
    <t>US$/liter</t>
  </si>
  <si>
    <t>US$/gallon</t>
  </si>
  <si>
    <t>gallons</t>
  </si>
  <si>
    <t>Cost (USD)</t>
  </si>
  <si>
    <t>Petro-Canada</t>
  </si>
  <si>
    <t>Caper Gas</t>
  </si>
  <si>
    <t>Esso</t>
  </si>
  <si>
    <t>Western Petroleum</t>
  </si>
  <si>
    <t>partial</t>
  </si>
  <si>
    <t>Irving</t>
  </si>
  <si>
    <t>Husky</t>
  </si>
  <si>
    <t>US/Canada rate</t>
  </si>
  <si>
    <t>liters to gallons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</si>
</sst>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#,##0.000"/>
    <numFmt numFmtId="166" formatCode="$#,##0.00"/>
    <numFmt numFmtId="167" formatCode="0.0"/>
    <numFmt numFmtId="168" formatCode="m/d/yyyy"/>
    <numFmt numFmtId="169" formatCode="H:mm:ss"/>
  </numFmts>
  <fonts count="5">
    <font>
      <sz val="10.0"/>
      <color rgb="FF000000"/>
      <name val="Arial"/>
    </font>
    <font>
      <b/>
      <sz val="10.0"/>
      <color rgb="FF808080"/>
    </font>
    <font>
      <b/>
      <sz val="10.0"/>
    </font>
    <font/>
    <font>
      <b/>
      <color rgb="FFFF0000"/>
    </font>
  </fonts>
  <fills count="6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readingOrder="0" shrinkToFit="0" wrapText="1"/>
    </xf>
    <xf borderId="0" fillId="0" fontId="3" numFmtId="14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0" fontId="3" numFmtId="14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8" xfId="0" applyAlignment="1" applyFont="1" applyNumberForma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168" xfId="0" applyAlignment="1" applyFont="1" applyNumberFormat="1">
      <alignment readingOrder="0" shrinkToFit="0" wrapText="1"/>
    </xf>
    <xf borderId="0" fillId="4" fontId="3" numFmtId="164" xfId="0" applyAlignment="1" applyFont="1" applyNumberFormat="1">
      <alignment readingOrder="0" shrinkToFit="0" wrapText="1"/>
    </xf>
    <xf borderId="0" fillId="4" fontId="3" numFmtId="165" xfId="0" applyAlignment="1" applyFont="1" applyNumberFormat="1">
      <alignment readingOrder="0" shrinkToFit="0" wrapText="1"/>
    </xf>
    <xf borderId="0" fillId="4" fontId="3" numFmtId="3" xfId="0" applyAlignment="1" applyFont="1" applyNumberFormat="1">
      <alignment shrinkToFit="0" wrapText="1"/>
    </xf>
    <xf borderId="0" fillId="4" fontId="3" numFmtId="4" xfId="0" applyAlignment="1" applyFont="1" applyNumberFormat="1">
      <alignment shrinkToFit="0" wrapText="1"/>
    </xf>
    <xf borderId="0" fillId="4" fontId="3" numFmtId="166" xfId="0" applyAlignment="1" applyFont="1" applyNumberFormat="1">
      <alignment shrinkToFit="0" wrapText="1"/>
    </xf>
    <xf borderId="0" fillId="4" fontId="3" numFmtId="165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166" xfId="0" applyAlignment="1" applyFont="1" applyNumberFormat="1">
      <alignment readingOrder="0" shrinkToFit="0" wrapText="1"/>
    </xf>
    <xf borderId="0" fillId="5" fontId="3" numFmtId="165" xfId="0" applyAlignment="1" applyFont="1" applyNumberFormat="1">
      <alignment readingOrder="0" shrinkToFit="0" wrapText="1"/>
    </xf>
    <xf borderId="0" fillId="5" fontId="3" numFmtId="3" xfId="0" applyAlignment="1" applyFont="1" applyNumberFormat="1">
      <alignment shrinkToFit="0" wrapText="1"/>
    </xf>
    <xf borderId="0" fillId="5" fontId="3" numFmtId="0" xfId="0" applyAlignment="1" applyFont="1">
      <alignment shrinkToFit="0" wrapText="1"/>
    </xf>
    <xf borderId="0" fillId="5" fontId="3" numFmtId="3" xfId="0" applyAlignment="1" applyFont="1" applyNumberFormat="1">
      <alignment readingOrder="0" shrinkToFit="0" wrapText="1"/>
    </xf>
    <xf borderId="0" fillId="0" fontId="3" numFmtId="16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19.88"/>
    <col customWidth="1" min="3" max="3" width="14.75"/>
    <col customWidth="1" min="4" max="4" width="12.75"/>
    <col customWidth="1" min="5" max="5" width="10.13"/>
    <col customWidth="1" min="6" max="6" width="8.75"/>
    <col customWidth="1" min="7" max="7" width="7.75"/>
    <col customWidth="1" min="8" max="8" width="9.63"/>
    <col customWidth="1" min="9" max="9" width="5.75"/>
    <col customWidth="1" min="10" max="10" width="11.38"/>
    <col customWidth="1" min="11" max="11" width="12.13"/>
    <col customWidth="1" min="12" max="12" width="11.13"/>
    <col customWidth="1" min="13" max="13" width="6.13"/>
    <col customWidth="1" min="14" max="14" width="7.88"/>
    <col customWidth="1" min="15" max="15" width="13.25"/>
    <col customWidth="1" min="16" max="16" width="9.5"/>
    <col customWidth="1" min="17" max="17" width="17.25"/>
    <col customWidth="1" min="18" max="18" width="15.13"/>
    <col customWidth="1" min="19" max="19" width="20.88"/>
    <col customWidth="1" min="20" max="21" width="1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  <c r="M1" s="8" t="s">
        <v>12</v>
      </c>
      <c r="N1" s="5" t="s">
        <v>13</v>
      </c>
      <c r="O1" s="3" t="s">
        <v>14</v>
      </c>
      <c r="P1" s="3" t="s">
        <v>15</v>
      </c>
    </row>
    <row r="2">
      <c r="A2" s="9">
        <v>40382.0</v>
      </c>
      <c r="B2" s="3" t="s">
        <v>16</v>
      </c>
      <c r="C2" s="3" t="s">
        <v>17</v>
      </c>
      <c r="D2" s="3" t="s">
        <v>18</v>
      </c>
      <c r="E2" s="4">
        <v>0.0</v>
      </c>
      <c r="F2" s="3">
        <v>4.0</v>
      </c>
      <c r="G2" s="5">
        <v>8.7</v>
      </c>
      <c r="H2" s="4">
        <v>0.0</v>
      </c>
      <c r="I2" s="10">
        <f>F2</f>
        <v>4</v>
      </c>
      <c r="J2" s="11"/>
      <c r="K2" s="7">
        <v>0.0</v>
      </c>
      <c r="L2" s="11">
        <f>G2</f>
        <v>8.7</v>
      </c>
      <c r="M2" s="11"/>
      <c r="N2" s="12"/>
      <c r="Q2" s="3" t="s">
        <v>19</v>
      </c>
      <c r="R2" s="10">
        <f>max(F2:F357)</f>
        <v>71181</v>
      </c>
    </row>
    <row r="3">
      <c r="A3" s="9">
        <v>40385.0</v>
      </c>
      <c r="B3" s="3" t="s">
        <v>20</v>
      </c>
      <c r="C3" s="3" t="s">
        <v>17</v>
      </c>
      <c r="D3" s="3" t="s">
        <v>21</v>
      </c>
      <c r="E3" s="4">
        <v>3.319</v>
      </c>
      <c r="F3" s="3">
        <v>266.7</v>
      </c>
      <c r="G3" s="5">
        <v>7.137</v>
      </c>
      <c r="H3" s="4">
        <v>23.69</v>
      </c>
      <c r="I3" s="10">
        <f t="shared" ref="I3:I31" si="1">if(G3&gt;0,F3-F2," ")</f>
        <v>262.7</v>
      </c>
      <c r="J3" s="11">
        <f t="shared" ref="J3:J12" si="2">if(G3&gt;0,I3/G3," ")</f>
        <v>36.80818271</v>
      </c>
      <c r="K3" s="13">
        <f t="shared" ref="K3:K239" si="3">if(H3&gt;0,K2+H3," ")</f>
        <v>23.69</v>
      </c>
      <c r="L3" s="11">
        <f t="shared" ref="L3:L239" si="4">G3+L2</f>
        <v>15.837</v>
      </c>
      <c r="M3" s="11">
        <f t="shared" ref="M3:M294" si="5">F3/(L3-8.7)</f>
        <v>37.36864229</v>
      </c>
      <c r="N3" s="12">
        <f t="shared" ref="N3:N294" si="6">K3/F3</f>
        <v>0.0888263967</v>
      </c>
      <c r="Q3" s="3" t="s">
        <v>22</v>
      </c>
      <c r="R3" s="11">
        <f>average(G2:G357)</f>
        <v>6.180688603</v>
      </c>
    </row>
    <row r="4">
      <c r="A4" s="9">
        <v>40440.0</v>
      </c>
      <c r="B4" s="3" t="s">
        <v>23</v>
      </c>
      <c r="C4" s="3" t="s">
        <v>17</v>
      </c>
      <c r="D4" s="3" t="s">
        <v>24</v>
      </c>
      <c r="E4" s="4">
        <v>3.399</v>
      </c>
      <c r="F4" s="3">
        <v>513.0</v>
      </c>
      <c r="G4" s="5">
        <v>6.043</v>
      </c>
      <c r="H4" s="4">
        <v>20.54</v>
      </c>
      <c r="I4" s="10">
        <f t="shared" si="1"/>
        <v>246.3</v>
      </c>
      <c r="J4" s="11">
        <f t="shared" si="2"/>
        <v>40.7579017</v>
      </c>
      <c r="K4" s="13">
        <f t="shared" si="3"/>
        <v>44.23</v>
      </c>
      <c r="L4" s="11">
        <f t="shared" si="4"/>
        <v>21.88</v>
      </c>
      <c r="M4" s="11">
        <f t="shared" si="5"/>
        <v>38.92261002</v>
      </c>
      <c r="N4" s="12">
        <f t="shared" si="6"/>
        <v>0.08621832359</v>
      </c>
      <c r="Q4" s="3" t="s">
        <v>25</v>
      </c>
      <c r="R4" s="14">
        <f>count(G2:G357)</f>
        <v>293</v>
      </c>
    </row>
    <row r="5">
      <c r="A5" s="9">
        <v>40440.0</v>
      </c>
      <c r="B5" s="3" t="s">
        <v>26</v>
      </c>
      <c r="C5" s="3" t="s">
        <v>27</v>
      </c>
      <c r="D5" s="3" t="s">
        <v>28</v>
      </c>
      <c r="E5" s="4">
        <v>2.859</v>
      </c>
      <c r="F5" s="3">
        <v>819.0</v>
      </c>
      <c r="G5" s="5">
        <v>8.304</v>
      </c>
      <c r="H5" s="4">
        <v>23.74</v>
      </c>
      <c r="I5" s="10">
        <f t="shared" si="1"/>
        <v>306</v>
      </c>
      <c r="J5" s="11">
        <f t="shared" si="2"/>
        <v>36.84971098</v>
      </c>
      <c r="K5" s="13">
        <f t="shared" si="3"/>
        <v>67.97</v>
      </c>
      <c r="L5" s="11">
        <f t="shared" si="4"/>
        <v>30.184</v>
      </c>
      <c r="M5" s="11">
        <f t="shared" si="5"/>
        <v>38.12139266</v>
      </c>
      <c r="N5" s="12">
        <f t="shared" si="6"/>
        <v>0.08299145299</v>
      </c>
      <c r="Q5" s="3" t="s">
        <v>29</v>
      </c>
      <c r="R5" s="11">
        <f>average(I3:I357)</f>
        <v>243.7568493</v>
      </c>
    </row>
    <row r="6">
      <c r="A6" s="9">
        <v>40441.0</v>
      </c>
      <c r="B6" s="3" t="s">
        <v>30</v>
      </c>
      <c r="C6" s="3" t="s">
        <v>27</v>
      </c>
      <c r="D6" s="3" t="s">
        <v>31</v>
      </c>
      <c r="E6" s="4">
        <v>2.929</v>
      </c>
      <c r="F6" s="3">
        <v>1109.0</v>
      </c>
      <c r="G6" s="5">
        <v>7.119</v>
      </c>
      <c r="H6" s="4">
        <v>20.05</v>
      </c>
      <c r="I6" s="10">
        <f t="shared" si="1"/>
        <v>290</v>
      </c>
      <c r="J6" s="11">
        <f t="shared" si="2"/>
        <v>40.73605844</v>
      </c>
      <c r="K6" s="13">
        <f t="shared" si="3"/>
        <v>88.02</v>
      </c>
      <c r="L6" s="11">
        <f t="shared" si="4"/>
        <v>37.303</v>
      </c>
      <c r="M6" s="11">
        <f t="shared" si="5"/>
        <v>38.77215677</v>
      </c>
      <c r="N6" s="12">
        <f t="shared" si="6"/>
        <v>0.07936880072</v>
      </c>
      <c r="Q6" s="3" t="s">
        <v>10</v>
      </c>
      <c r="R6" s="13">
        <f>max(K2:K357)</f>
        <v>6532.5664</v>
      </c>
    </row>
    <row r="7">
      <c r="A7" s="9">
        <v>40441.0</v>
      </c>
      <c r="B7" s="3" t="s">
        <v>32</v>
      </c>
      <c r="C7" s="3" t="s">
        <v>33</v>
      </c>
      <c r="D7" s="3" t="s">
        <v>31</v>
      </c>
      <c r="E7" s="4">
        <v>2.959</v>
      </c>
      <c r="F7" s="3">
        <v>1413.0</v>
      </c>
      <c r="G7" s="5">
        <v>8.476</v>
      </c>
      <c r="H7" s="4">
        <v>25.08</v>
      </c>
      <c r="I7" s="10">
        <f t="shared" si="1"/>
        <v>304</v>
      </c>
      <c r="J7" s="11">
        <f t="shared" si="2"/>
        <v>35.86597452</v>
      </c>
      <c r="K7" s="13">
        <f t="shared" si="3"/>
        <v>113.1</v>
      </c>
      <c r="L7" s="11">
        <f t="shared" si="4"/>
        <v>45.779</v>
      </c>
      <c r="M7" s="11">
        <f t="shared" si="5"/>
        <v>38.10782384</v>
      </c>
      <c r="N7" s="12">
        <f t="shared" si="6"/>
        <v>0.08004246285</v>
      </c>
      <c r="P7" s="11">
        <f t="shared" ref="P7:P239" si="7">(sum(I2:I7)/sum(G2:G7))</f>
        <v>30.86568077</v>
      </c>
      <c r="Q7" s="3" t="s">
        <v>34</v>
      </c>
      <c r="R7" s="14">
        <f>max(L2:L357)</f>
        <v>1772.933761</v>
      </c>
    </row>
    <row r="8">
      <c r="A8" s="9">
        <v>40442.0</v>
      </c>
      <c r="B8" s="3" t="s">
        <v>35</v>
      </c>
      <c r="C8" s="3" t="s">
        <v>33</v>
      </c>
      <c r="D8" s="3" t="s">
        <v>31</v>
      </c>
      <c r="E8" s="4">
        <v>2.739</v>
      </c>
      <c r="F8" s="3">
        <v>1655.0</v>
      </c>
      <c r="G8" s="5">
        <v>5.624</v>
      </c>
      <c r="H8" s="4">
        <v>15.4</v>
      </c>
      <c r="I8" s="10">
        <f t="shared" si="1"/>
        <v>242</v>
      </c>
      <c r="J8" s="11">
        <f t="shared" si="2"/>
        <v>43.02987198</v>
      </c>
      <c r="K8" s="13">
        <f t="shared" si="3"/>
        <v>128.5</v>
      </c>
      <c r="L8" s="11">
        <f t="shared" si="4"/>
        <v>51.403</v>
      </c>
      <c r="M8" s="11">
        <f t="shared" si="5"/>
        <v>38.75605929</v>
      </c>
      <c r="N8" s="12">
        <f t="shared" si="6"/>
        <v>0.07764350453</v>
      </c>
      <c r="P8" s="11">
        <f t="shared" si="7"/>
        <v>38.66238906</v>
      </c>
      <c r="Q8" s="3" t="s">
        <v>36</v>
      </c>
      <c r="R8" s="11">
        <f>R2/R7</f>
        <v>40.14870808</v>
      </c>
      <c r="S8" s="3" t="s">
        <v>37</v>
      </c>
    </row>
    <row r="9">
      <c r="A9" s="9">
        <v>40444.0</v>
      </c>
      <c r="B9" s="3" t="s">
        <v>38</v>
      </c>
      <c r="C9" s="3" t="s">
        <v>33</v>
      </c>
      <c r="D9" s="3" t="s">
        <v>39</v>
      </c>
      <c r="E9" s="4">
        <v>2.769</v>
      </c>
      <c r="F9" s="3">
        <v>1939.0</v>
      </c>
      <c r="G9" s="5">
        <v>7.715</v>
      </c>
      <c r="H9" s="4">
        <v>21.36</v>
      </c>
      <c r="I9" s="10">
        <f t="shared" si="1"/>
        <v>284</v>
      </c>
      <c r="J9" s="11">
        <f t="shared" si="2"/>
        <v>36.81140635</v>
      </c>
      <c r="K9" s="13">
        <f t="shared" si="3"/>
        <v>149.86</v>
      </c>
      <c r="L9" s="11">
        <f t="shared" si="4"/>
        <v>59.118</v>
      </c>
      <c r="M9" s="11">
        <f t="shared" si="5"/>
        <v>38.45848705</v>
      </c>
      <c r="N9" s="12">
        <f t="shared" si="6"/>
        <v>0.07728726147</v>
      </c>
      <c r="P9" s="11">
        <f t="shared" si="7"/>
        <v>38.63820152</v>
      </c>
      <c r="Q9" s="3" t="s">
        <v>40</v>
      </c>
      <c r="R9" s="11">
        <f>max(P7:P281)</f>
        <v>47.10326713</v>
      </c>
    </row>
    <row r="10">
      <c r="A10" s="9">
        <v>40445.0</v>
      </c>
      <c r="B10" s="3" t="s">
        <v>41</v>
      </c>
      <c r="C10" s="3" t="s">
        <v>42</v>
      </c>
      <c r="D10" s="3" t="s">
        <v>21</v>
      </c>
      <c r="E10" s="4">
        <v>2.999</v>
      </c>
      <c r="F10" s="3">
        <v>2205.0</v>
      </c>
      <c r="G10" s="5">
        <v>6.165</v>
      </c>
      <c r="H10" s="4">
        <v>18.49</v>
      </c>
      <c r="I10" s="10">
        <f t="shared" si="1"/>
        <v>266</v>
      </c>
      <c r="J10" s="11">
        <f t="shared" si="2"/>
        <v>43.14679643</v>
      </c>
      <c r="K10" s="13">
        <f t="shared" si="3"/>
        <v>168.35</v>
      </c>
      <c r="L10" s="11">
        <f t="shared" si="4"/>
        <v>65.283</v>
      </c>
      <c r="M10" s="11">
        <f t="shared" si="5"/>
        <v>38.96930173</v>
      </c>
      <c r="N10" s="12">
        <f t="shared" si="6"/>
        <v>0.07634920635</v>
      </c>
      <c r="P10" s="11">
        <f t="shared" si="7"/>
        <v>38.9834804</v>
      </c>
      <c r="Q10" s="3" t="s">
        <v>43</v>
      </c>
      <c r="R10" s="13">
        <f>max(E3:E357)</f>
        <v>5.673122057</v>
      </c>
    </row>
    <row r="11">
      <c r="A11" s="9">
        <v>40445.0</v>
      </c>
      <c r="B11" s="3" t="s">
        <v>44</v>
      </c>
      <c r="C11" s="3" t="s">
        <v>45</v>
      </c>
      <c r="D11" s="3" t="s">
        <v>21</v>
      </c>
      <c r="E11" s="4">
        <v>2.959</v>
      </c>
      <c r="F11" s="3">
        <v>2438.0</v>
      </c>
      <c r="G11" s="5">
        <v>7.295</v>
      </c>
      <c r="H11" s="4">
        <v>21.59</v>
      </c>
      <c r="I11" s="10">
        <f t="shared" si="1"/>
        <v>233</v>
      </c>
      <c r="J11" s="11">
        <f t="shared" si="2"/>
        <v>31.93968472</v>
      </c>
      <c r="K11" s="13">
        <f t="shared" si="3"/>
        <v>189.94</v>
      </c>
      <c r="L11" s="11">
        <f t="shared" si="4"/>
        <v>72.578</v>
      </c>
      <c r="M11" s="11">
        <f t="shared" si="5"/>
        <v>38.1665049</v>
      </c>
      <c r="N11" s="12">
        <f t="shared" si="6"/>
        <v>0.07790812141</v>
      </c>
      <c r="P11" s="11">
        <f t="shared" si="7"/>
        <v>38.18936642</v>
      </c>
      <c r="Q11" s="3" t="s">
        <v>46</v>
      </c>
      <c r="R11" s="13">
        <f>min(E3:E357)</f>
        <v>2.349</v>
      </c>
      <c r="S11" s="15">
        <f>R10/R11</f>
        <v>2.415122204</v>
      </c>
      <c r="T11" s="16" t="s">
        <v>47</v>
      </c>
    </row>
    <row r="12">
      <c r="A12" s="9">
        <v>40450.0</v>
      </c>
      <c r="B12" s="3" t="s">
        <v>48</v>
      </c>
      <c r="C12" s="3" t="s">
        <v>49</v>
      </c>
      <c r="D12" s="3" t="s">
        <v>50</v>
      </c>
      <c r="E12" s="4">
        <v>2.689</v>
      </c>
      <c r="F12" s="3">
        <v>2744.0</v>
      </c>
      <c r="G12" s="5">
        <v>7.851</v>
      </c>
      <c r="H12" s="4">
        <v>21.11</v>
      </c>
      <c r="I12" s="10">
        <f t="shared" si="1"/>
        <v>306</v>
      </c>
      <c r="J12" s="11">
        <f t="shared" si="2"/>
        <v>38.97592663</v>
      </c>
      <c r="K12" s="13">
        <f t="shared" si="3"/>
        <v>211.05</v>
      </c>
      <c r="L12" s="11">
        <f t="shared" si="4"/>
        <v>80.429</v>
      </c>
      <c r="M12" s="11">
        <f t="shared" si="5"/>
        <v>38.25509905</v>
      </c>
      <c r="N12" s="12">
        <f t="shared" si="6"/>
        <v>0.07691326531</v>
      </c>
      <c r="P12" s="11">
        <f t="shared" si="7"/>
        <v>37.91216436</v>
      </c>
    </row>
    <row r="13">
      <c r="A13" s="9">
        <v>40451.0</v>
      </c>
      <c r="B13" s="3" t="s">
        <v>51</v>
      </c>
      <c r="C13" s="3" t="s">
        <v>52</v>
      </c>
      <c r="D13" s="3" t="s">
        <v>21</v>
      </c>
      <c r="E13" s="4">
        <v>2.899</v>
      </c>
      <c r="F13" s="3">
        <v>3035.0</v>
      </c>
      <c r="G13" s="5">
        <v>7.002</v>
      </c>
      <c r="H13" s="4">
        <v>20.3</v>
      </c>
      <c r="I13" s="10">
        <f t="shared" si="1"/>
        <v>291</v>
      </c>
      <c r="J13" s="11">
        <f t="shared" ref="J13:J17" si="8">if(G13&gt;0,I13/G12," ")</f>
        <v>37.06534199</v>
      </c>
      <c r="K13" s="13">
        <f t="shared" si="3"/>
        <v>231.35</v>
      </c>
      <c r="L13" s="11">
        <f t="shared" si="4"/>
        <v>87.431</v>
      </c>
      <c r="M13" s="11">
        <f t="shared" si="5"/>
        <v>38.54898325</v>
      </c>
      <c r="N13" s="12">
        <f t="shared" si="6"/>
        <v>0.07622734761</v>
      </c>
      <c r="P13" s="11">
        <f t="shared" si="7"/>
        <v>38.94170748</v>
      </c>
    </row>
    <row r="14">
      <c r="A14" s="9">
        <v>40451.0</v>
      </c>
      <c r="B14" s="3" t="s">
        <v>53</v>
      </c>
      <c r="C14" s="3" t="s">
        <v>54</v>
      </c>
      <c r="D14" s="3" t="s">
        <v>55</v>
      </c>
      <c r="E14" s="4">
        <v>2.949</v>
      </c>
      <c r="F14" s="3">
        <v>3310.0</v>
      </c>
      <c r="G14" s="5">
        <v>7.153</v>
      </c>
      <c r="H14" s="4">
        <v>21.09</v>
      </c>
      <c r="I14" s="10">
        <f t="shared" si="1"/>
        <v>275</v>
      </c>
      <c r="J14" s="11">
        <f t="shared" si="8"/>
        <v>39.274493</v>
      </c>
      <c r="K14" s="13">
        <f t="shared" si="3"/>
        <v>252.44</v>
      </c>
      <c r="L14" s="11">
        <f t="shared" si="4"/>
        <v>94.584</v>
      </c>
      <c r="M14" s="11">
        <f t="shared" si="5"/>
        <v>38.54035676</v>
      </c>
      <c r="N14" s="12">
        <f t="shared" si="6"/>
        <v>0.07626586103</v>
      </c>
      <c r="P14" s="11">
        <f t="shared" si="7"/>
        <v>38.32704199</v>
      </c>
    </row>
    <row r="15">
      <c r="A15" s="9">
        <v>40452.0</v>
      </c>
      <c r="B15" s="3" t="s">
        <v>56</v>
      </c>
      <c r="C15" s="3" t="s">
        <v>57</v>
      </c>
      <c r="D15" s="3" t="s">
        <v>58</v>
      </c>
      <c r="E15" s="4">
        <v>2.729</v>
      </c>
      <c r="F15" s="17">
        <f>F14+197</f>
        <v>3507</v>
      </c>
      <c r="G15" s="5">
        <v>4.118</v>
      </c>
      <c r="H15" s="4">
        <v>11.24</v>
      </c>
      <c r="I15" s="10">
        <f t="shared" si="1"/>
        <v>197</v>
      </c>
      <c r="J15" s="11">
        <f t="shared" si="8"/>
        <v>27.54089193</v>
      </c>
      <c r="K15" s="13">
        <f t="shared" si="3"/>
        <v>263.68</v>
      </c>
      <c r="L15" s="11">
        <f t="shared" si="4"/>
        <v>98.702</v>
      </c>
      <c r="M15" s="11">
        <f t="shared" si="5"/>
        <v>38.96580076</v>
      </c>
      <c r="N15" s="12">
        <f t="shared" si="6"/>
        <v>0.07518676932</v>
      </c>
      <c r="P15" s="11">
        <f t="shared" si="7"/>
        <v>39.61196443</v>
      </c>
    </row>
    <row r="16">
      <c r="A16" s="9">
        <v>40453.0</v>
      </c>
      <c r="B16" s="3" t="s">
        <v>59</v>
      </c>
      <c r="C16" s="3" t="s">
        <v>57</v>
      </c>
      <c r="D16" s="3" t="s">
        <v>60</v>
      </c>
      <c r="E16" s="4">
        <v>2.899</v>
      </c>
      <c r="F16" s="17">
        <f>F15+170</f>
        <v>3677</v>
      </c>
      <c r="G16" s="5">
        <v>5.688</v>
      </c>
      <c r="H16" s="4">
        <v>16.49</v>
      </c>
      <c r="I16" s="10">
        <f t="shared" si="1"/>
        <v>170</v>
      </c>
      <c r="J16" s="11">
        <f t="shared" si="8"/>
        <v>41.28217581</v>
      </c>
      <c r="K16" s="13">
        <f t="shared" si="3"/>
        <v>280.17</v>
      </c>
      <c r="L16" s="11">
        <f t="shared" si="4"/>
        <v>104.39</v>
      </c>
      <c r="M16" s="11">
        <f t="shared" si="5"/>
        <v>38.42616783</v>
      </c>
      <c r="N16" s="12">
        <f t="shared" si="6"/>
        <v>0.07619526788</v>
      </c>
      <c r="P16" s="11">
        <f t="shared" si="7"/>
        <v>37.64032015</v>
      </c>
    </row>
    <row r="17">
      <c r="A17" s="9">
        <v>40458.0</v>
      </c>
      <c r="B17" s="3" t="s">
        <v>61</v>
      </c>
      <c r="C17" s="3" t="s">
        <v>62</v>
      </c>
      <c r="D17" s="3" t="s">
        <v>55</v>
      </c>
      <c r="E17" s="4">
        <v>3.099</v>
      </c>
      <c r="F17" s="3">
        <v>4046.0</v>
      </c>
      <c r="G17" s="5">
        <v>6.845</v>
      </c>
      <c r="H17" s="4">
        <v>21.21</v>
      </c>
      <c r="I17" s="10">
        <f t="shared" si="1"/>
        <v>369</v>
      </c>
      <c r="J17" s="11">
        <f t="shared" si="8"/>
        <v>64.87341772</v>
      </c>
      <c r="K17" s="13">
        <f t="shared" si="3"/>
        <v>301.38</v>
      </c>
      <c r="L17" s="11">
        <f t="shared" si="4"/>
        <v>111.235</v>
      </c>
      <c r="M17" s="11">
        <f t="shared" si="5"/>
        <v>39.45969669</v>
      </c>
      <c r="N17" s="12">
        <f t="shared" si="6"/>
        <v>0.07448838359</v>
      </c>
      <c r="P17" s="11">
        <f t="shared" si="7"/>
        <v>41.59660605</v>
      </c>
    </row>
    <row r="18">
      <c r="A18" s="9">
        <v>40458.0</v>
      </c>
      <c r="B18" s="3" t="s">
        <v>63</v>
      </c>
      <c r="C18" s="3" t="s">
        <v>64</v>
      </c>
      <c r="D18" s="3" t="s">
        <v>65</v>
      </c>
      <c r="E18" s="4">
        <v>3.159</v>
      </c>
      <c r="F18" s="3">
        <v>4349.0</v>
      </c>
      <c r="G18" s="5">
        <v>8.07</v>
      </c>
      <c r="H18" s="4">
        <v>25.49</v>
      </c>
      <c r="I18" s="10">
        <f t="shared" si="1"/>
        <v>303</v>
      </c>
      <c r="J18" s="11">
        <f t="shared" ref="J18:J294" si="9">if(G18&gt;0,I18/G18," ")</f>
        <v>37.5464684</v>
      </c>
      <c r="K18" s="13">
        <f t="shared" si="3"/>
        <v>326.87</v>
      </c>
      <c r="L18" s="11">
        <f t="shared" si="4"/>
        <v>119.305</v>
      </c>
      <c r="M18" s="11">
        <f t="shared" si="5"/>
        <v>39.32010307</v>
      </c>
      <c r="N18" s="12">
        <f t="shared" si="6"/>
        <v>0.07515980685</v>
      </c>
      <c r="P18" s="11">
        <f t="shared" si="7"/>
        <v>41.28511164</v>
      </c>
    </row>
    <row r="19">
      <c r="A19" s="9">
        <v>40460.0</v>
      </c>
      <c r="B19" s="3" t="s">
        <v>66</v>
      </c>
      <c r="C19" s="3" t="s">
        <v>67</v>
      </c>
      <c r="D19" s="3" t="s">
        <v>68</v>
      </c>
      <c r="E19" s="4">
        <v>3.049</v>
      </c>
      <c r="F19" s="3">
        <v>4684.0</v>
      </c>
      <c r="G19" s="5">
        <v>8.499</v>
      </c>
      <c r="H19" s="4">
        <v>25.91</v>
      </c>
      <c r="I19" s="10">
        <f t="shared" si="1"/>
        <v>335</v>
      </c>
      <c r="J19" s="11">
        <f t="shared" si="9"/>
        <v>39.41640193</v>
      </c>
      <c r="K19" s="13">
        <f t="shared" si="3"/>
        <v>352.78</v>
      </c>
      <c r="L19" s="11">
        <f t="shared" si="4"/>
        <v>127.804</v>
      </c>
      <c r="M19" s="11">
        <f t="shared" si="5"/>
        <v>39.32697474</v>
      </c>
      <c r="N19" s="12">
        <f t="shared" si="6"/>
        <v>0.07531596926</v>
      </c>
      <c r="P19" s="11">
        <f t="shared" si="7"/>
        <v>40.8441285</v>
      </c>
    </row>
    <row r="20">
      <c r="A20" s="9">
        <v>40461.0</v>
      </c>
      <c r="B20" s="3" t="s">
        <v>69</v>
      </c>
      <c r="C20" s="3" t="s">
        <v>70</v>
      </c>
      <c r="D20" s="3" t="s">
        <v>60</v>
      </c>
      <c r="E20" s="4">
        <v>3.079</v>
      </c>
      <c r="F20" s="3">
        <v>4982.0</v>
      </c>
      <c r="G20" s="5">
        <v>7.293</v>
      </c>
      <c r="H20" s="4">
        <v>22.46</v>
      </c>
      <c r="I20" s="10">
        <f t="shared" si="1"/>
        <v>298</v>
      </c>
      <c r="J20" s="11">
        <f t="shared" si="9"/>
        <v>40.86109968</v>
      </c>
      <c r="K20" s="13">
        <f t="shared" si="3"/>
        <v>375.24</v>
      </c>
      <c r="L20" s="11">
        <f t="shared" si="4"/>
        <v>135.097</v>
      </c>
      <c r="M20" s="11">
        <f t="shared" si="5"/>
        <v>39.41549246</v>
      </c>
      <c r="N20" s="12">
        <f t="shared" si="6"/>
        <v>0.07531914894</v>
      </c>
      <c r="P20" s="11">
        <f t="shared" si="7"/>
        <v>41.27070323</v>
      </c>
    </row>
    <row r="21">
      <c r="A21" s="9">
        <v>40461.0</v>
      </c>
      <c r="B21" s="3" t="s">
        <v>71</v>
      </c>
      <c r="C21" s="3" t="s">
        <v>70</v>
      </c>
      <c r="D21" s="3" t="s">
        <v>28</v>
      </c>
      <c r="E21" s="4">
        <v>3.079</v>
      </c>
      <c r="F21" s="3">
        <v>5217.0</v>
      </c>
      <c r="G21" s="5">
        <v>5.762</v>
      </c>
      <c r="H21" s="4">
        <v>17.74</v>
      </c>
      <c r="I21" s="10">
        <f t="shared" si="1"/>
        <v>235</v>
      </c>
      <c r="J21" s="11">
        <f t="shared" si="9"/>
        <v>40.78444984</v>
      </c>
      <c r="K21" s="13">
        <f t="shared" si="3"/>
        <v>392.98</v>
      </c>
      <c r="L21" s="11">
        <f t="shared" si="4"/>
        <v>140.859</v>
      </c>
      <c r="M21" s="11">
        <f t="shared" si="5"/>
        <v>39.47517763</v>
      </c>
      <c r="N21" s="12">
        <f t="shared" si="6"/>
        <v>0.07532681618</v>
      </c>
      <c r="P21" s="11">
        <f t="shared" si="7"/>
        <v>40.56265863</v>
      </c>
    </row>
    <row r="22">
      <c r="A22" s="9">
        <v>40462.0</v>
      </c>
      <c r="B22" s="3" t="s">
        <v>72</v>
      </c>
      <c r="C22" s="3" t="s">
        <v>70</v>
      </c>
      <c r="D22" s="3" t="s">
        <v>73</v>
      </c>
      <c r="E22" s="4">
        <v>2.899</v>
      </c>
      <c r="F22" s="3">
        <v>5465.0</v>
      </c>
      <c r="G22" s="5">
        <v>7.069</v>
      </c>
      <c r="H22" s="4">
        <v>20.42</v>
      </c>
      <c r="I22" s="10">
        <f t="shared" si="1"/>
        <v>248</v>
      </c>
      <c r="J22" s="11">
        <f t="shared" si="9"/>
        <v>35.08275569</v>
      </c>
      <c r="K22" s="13">
        <f t="shared" si="3"/>
        <v>413.4</v>
      </c>
      <c r="L22" s="11">
        <f t="shared" si="4"/>
        <v>147.928</v>
      </c>
      <c r="M22" s="11">
        <f t="shared" si="5"/>
        <v>39.25216192</v>
      </c>
      <c r="N22" s="12">
        <f t="shared" si="6"/>
        <v>0.07564501372</v>
      </c>
      <c r="P22" s="11">
        <f t="shared" si="7"/>
        <v>41.06757315</v>
      </c>
    </row>
    <row r="23">
      <c r="A23" s="9">
        <v>40462.0</v>
      </c>
      <c r="B23" s="3" t="s">
        <v>74</v>
      </c>
      <c r="C23" s="3" t="s">
        <v>75</v>
      </c>
      <c r="D23" s="3" t="s">
        <v>73</v>
      </c>
      <c r="E23" s="4">
        <v>3.129</v>
      </c>
      <c r="F23" s="3">
        <v>5730.0</v>
      </c>
      <c r="G23" s="5">
        <v>6.047</v>
      </c>
      <c r="H23" s="4">
        <v>18.92</v>
      </c>
      <c r="I23" s="10">
        <f t="shared" si="1"/>
        <v>265</v>
      </c>
      <c r="J23" s="11">
        <f t="shared" si="9"/>
        <v>43.8233835</v>
      </c>
      <c r="K23" s="13">
        <f t="shared" si="3"/>
        <v>432.32</v>
      </c>
      <c r="L23" s="11">
        <f t="shared" si="4"/>
        <v>153.975</v>
      </c>
      <c r="M23" s="11">
        <f t="shared" si="5"/>
        <v>39.44243676</v>
      </c>
      <c r="N23" s="12">
        <f t="shared" si="6"/>
        <v>0.07544851658</v>
      </c>
      <c r="P23" s="11">
        <f t="shared" si="7"/>
        <v>39.40102948</v>
      </c>
    </row>
    <row r="24">
      <c r="A24" s="9">
        <v>40487.0</v>
      </c>
      <c r="B24" s="3" t="s">
        <v>76</v>
      </c>
      <c r="C24" s="3" t="s">
        <v>75</v>
      </c>
      <c r="D24" s="3" t="s">
        <v>65</v>
      </c>
      <c r="E24" s="4">
        <v>3.139</v>
      </c>
      <c r="F24" s="3">
        <v>5957.0</v>
      </c>
      <c r="G24" s="5">
        <v>6.48</v>
      </c>
      <c r="H24" s="4">
        <v>20.37</v>
      </c>
      <c r="I24" s="10">
        <f t="shared" si="1"/>
        <v>227</v>
      </c>
      <c r="J24" s="11">
        <f t="shared" si="9"/>
        <v>35.0308642</v>
      </c>
      <c r="K24" s="13">
        <f t="shared" si="3"/>
        <v>452.69</v>
      </c>
      <c r="L24" s="11">
        <f t="shared" si="4"/>
        <v>160.455</v>
      </c>
      <c r="M24" s="11">
        <f t="shared" si="5"/>
        <v>39.25406082</v>
      </c>
      <c r="N24" s="12">
        <f t="shared" si="6"/>
        <v>0.07599294947</v>
      </c>
      <c r="P24" s="11">
        <f t="shared" si="7"/>
        <v>39.07654921</v>
      </c>
    </row>
    <row r="25">
      <c r="A25" s="9">
        <v>40488.0</v>
      </c>
      <c r="B25" s="3" t="s">
        <v>77</v>
      </c>
      <c r="C25" s="3" t="s">
        <v>70</v>
      </c>
      <c r="D25" s="3" t="s">
        <v>21</v>
      </c>
      <c r="E25" s="4">
        <v>3.259</v>
      </c>
      <c r="F25" s="3">
        <v>6230.0</v>
      </c>
      <c r="G25" s="5">
        <v>7.275</v>
      </c>
      <c r="H25" s="4">
        <v>23.71</v>
      </c>
      <c r="I25" s="10">
        <f t="shared" si="1"/>
        <v>273</v>
      </c>
      <c r="J25" s="11">
        <f t="shared" si="9"/>
        <v>37.5257732</v>
      </c>
      <c r="K25" s="13">
        <f t="shared" si="3"/>
        <v>476.4</v>
      </c>
      <c r="L25" s="11">
        <f t="shared" si="4"/>
        <v>167.73</v>
      </c>
      <c r="M25" s="11">
        <f t="shared" si="5"/>
        <v>39.17499843</v>
      </c>
      <c r="N25" s="12">
        <f t="shared" si="6"/>
        <v>0.07646869984</v>
      </c>
      <c r="P25" s="11">
        <f t="shared" si="7"/>
        <v>38.72163502</v>
      </c>
    </row>
    <row r="26">
      <c r="A26" s="9">
        <v>40489.0</v>
      </c>
      <c r="B26" s="3" t="s">
        <v>59</v>
      </c>
      <c r="C26" s="3" t="s">
        <v>62</v>
      </c>
      <c r="D26" s="3" t="s">
        <v>55</v>
      </c>
      <c r="E26" s="4">
        <v>3.199</v>
      </c>
      <c r="F26" s="17">
        <f>int((39.17*6.123)+6230)</f>
        <v>6469</v>
      </c>
      <c r="G26" s="5">
        <v>6.123</v>
      </c>
      <c r="H26" s="4">
        <v>19.59</v>
      </c>
      <c r="I26" s="10">
        <f t="shared" si="1"/>
        <v>239</v>
      </c>
      <c r="J26" s="11">
        <f t="shared" si="9"/>
        <v>39.03315368</v>
      </c>
      <c r="K26" s="13">
        <f t="shared" si="3"/>
        <v>495.99</v>
      </c>
      <c r="L26" s="11">
        <f t="shared" si="4"/>
        <v>173.853</v>
      </c>
      <c r="M26" s="11">
        <f t="shared" si="5"/>
        <v>39.16973957</v>
      </c>
      <c r="N26" s="12">
        <f t="shared" si="6"/>
        <v>0.07667181945</v>
      </c>
      <c r="P26" s="11">
        <f t="shared" si="7"/>
        <v>38.36825266</v>
      </c>
    </row>
    <row r="27">
      <c r="A27" s="9">
        <v>40490.0</v>
      </c>
      <c r="B27" s="3" t="s">
        <v>78</v>
      </c>
      <c r="C27" s="3" t="s">
        <v>62</v>
      </c>
      <c r="D27" s="3" t="s">
        <v>60</v>
      </c>
      <c r="E27" s="4">
        <v>3.159</v>
      </c>
      <c r="F27" s="3">
        <v>6748.0</v>
      </c>
      <c r="G27" s="5">
        <v>6.255</v>
      </c>
      <c r="H27" s="4">
        <v>19.76</v>
      </c>
      <c r="I27" s="10">
        <f t="shared" si="1"/>
        <v>279</v>
      </c>
      <c r="J27" s="11">
        <f t="shared" si="9"/>
        <v>44.60431655</v>
      </c>
      <c r="K27" s="13">
        <f t="shared" si="3"/>
        <v>515.75</v>
      </c>
      <c r="L27" s="11">
        <f t="shared" si="4"/>
        <v>180.108</v>
      </c>
      <c r="M27" s="11">
        <f t="shared" si="5"/>
        <v>39.3680575</v>
      </c>
      <c r="N27" s="12">
        <f t="shared" si="6"/>
        <v>0.07643005335</v>
      </c>
      <c r="P27" s="11">
        <f t="shared" si="7"/>
        <v>39.00736324</v>
      </c>
    </row>
    <row r="28">
      <c r="A28" s="9">
        <v>40491.0</v>
      </c>
      <c r="B28" s="3" t="s">
        <v>79</v>
      </c>
      <c r="C28" s="3" t="s">
        <v>62</v>
      </c>
      <c r="D28" s="3" t="s">
        <v>60</v>
      </c>
      <c r="E28" s="4">
        <v>3.149</v>
      </c>
      <c r="F28" s="3">
        <v>6991.0</v>
      </c>
      <c r="G28" s="5">
        <v>5.985</v>
      </c>
      <c r="H28" s="4">
        <v>18.85</v>
      </c>
      <c r="I28" s="10">
        <f t="shared" si="1"/>
        <v>243</v>
      </c>
      <c r="J28" s="11">
        <f t="shared" si="9"/>
        <v>40.60150376</v>
      </c>
      <c r="K28" s="13">
        <f t="shared" si="3"/>
        <v>534.6</v>
      </c>
      <c r="L28" s="11">
        <f t="shared" si="4"/>
        <v>186.093</v>
      </c>
      <c r="M28" s="11">
        <f t="shared" si="5"/>
        <v>39.40967231</v>
      </c>
      <c r="N28" s="12">
        <f t="shared" si="6"/>
        <v>0.07646974682</v>
      </c>
      <c r="P28" s="11">
        <f t="shared" si="7"/>
        <v>39.98427879</v>
      </c>
    </row>
    <row r="29">
      <c r="A29" s="9">
        <v>40492.0</v>
      </c>
      <c r="B29" s="3" t="s">
        <v>80</v>
      </c>
      <c r="C29" s="3" t="s">
        <v>62</v>
      </c>
      <c r="D29" s="3" t="s">
        <v>60</v>
      </c>
      <c r="E29" s="4">
        <v>3.109</v>
      </c>
      <c r="F29" s="3">
        <v>7271.0</v>
      </c>
      <c r="G29" s="5">
        <v>7.989</v>
      </c>
      <c r="H29" s="4">
        <v>24.84</v>
      </c>
      <c r="I29" s="10">
        <f t="shared" si="1"/>
        <v>280</v>
      </c>
      <c r="J29" s="11">
        <f t="shared" si="9"/>
        <v>35.04819126</v>
      </c>
      <c r="K29" s="13">
        <f t="shared" si="3"/>
        <v>559.44</v>
      </c>
      <c r="L29" s="11">
        <f t="shared" si="4"/>
        <v>194.082</v>
      </c>
      <c r="M29" s="11">
        <f t="shared" si="5"/>
        <v>39.22171516</v>
      </c>
      <c r="N29" s="12">
        <f t="shared" si="6"/>
        <v>0.07694127355</v>
      </c>
      <c r="P29" s="11">
        <f t="shared" si="7"/>
        <v>38.42222056</v>
      </c>
    </row>
    <row r="30">
      <c r="A30" s="9">
        <v>40496.0</v>
      </c>
      <c r="B30" s="3" t="s">
        <v>81</v>
      </c>
      <c r="C30" s="3" t="s">
        <v>54</v>
      </c>
      <c r="D30" s="3" t="s">
        <v>60</v>
      </c>
      <c r="E30" s="4">
        <v>3.139</v>
      </c>
      <c r="F30" s="3">
        <v>7531.0</v>
      </c>
      <c r="G30" s="5">
        <v>6.94</v>
      </c>
      <c r="H30" s="4">
        <v>21.78</v>
      </c>
      <c r="I30" s="10">
        <f t="shared" si="1"/>
        <v>260</v>
      </c>
      <c r="J30" s="11">
        <f t="shared" si="9"/>
        <v>37.46397695</v>
      </c>
      <c r="K30" s="13">
        <f t="shared" si="3"/>
        <v>581.22</v>
      </c>
      <c r="L30" s="11">
        <f t="shared" si="4"/>
        <v>201.022</v>
      </c>
      <c r="M30" s="11">
        <f t="shared" si="5"/>
        <v>39.15828662</v>
      </c>
      <c r="N30" s="12">
        <f t="shared" si="6"/>
        <v>0.07717700173</v>
      </c>
      <c r="P30" s="11">
        <f t="shared" si="7"/>
        <v>38.80000986</v>
      </c>
    </row>
    <row r="31">
      <c r="A31" s="9">
        <v>40497.0</v>
      </c>
      <c r="B31" s="3" t="s">
        <v>82</v>
      </c>
      <c r="C31" s="3" t="s">
        <v>83</v>
      </c>
      <c r="D31" s="3" t="s">
        <v>84</v>
      </c>
      <c r="E31" s="4">
        <v>3.119</v>
      </c>
      <c r="F31" s="3">
        <v>7802.0</v>
      </c>
      <c r="G31" s="5">
        <v>6.581</v>
      </c>
      <c r="H31" s="4">
        <v>20.53</v>
      </c>
      <c r="I31" s="10">
        <f t="shared" si="1"/>
        <v>271</v>
      </c>
      <c r="J31" s="11">
        <f t="shared" si="9"/>
        <v>41.1791521</v>
      </c>
      <c r="K31" s="13">
        <f t="shared" si="3"/>
        <v>601.75</v>
      </c>
      <c r="L31" s="11">
        <f t="shared" si="4"/>
        <v>207.603</v>
      </c>
      <c r="M31" s="11">
        <f t="shared" si="5"/>
        <v>39.22514995</v>
      </c>
      <c r="N31" s="12">
        <f t="shared" si="6"/>
        <v>0.07712765957</v>
      </c>
      <c r="P31" s="11">
        <f t="shared" si="7"/>
        <v>39.42517493</v>
      </c>
    </row>
    <row r="32">
      <c r="A32" s="9">
        <v>40498.0</v>
      </c>
      <c r="B32" s="3" t="s">
        <v>85</v>
      </c>
      <c r="C32" s="3" t="s">
        <v>86</v>
      </c>
      <c r="D32" s="3" t="s">
        <v>21</v>
      </c>
      <c r="E32" s="4">
        <v>3.099</v>
      </c>
      <c r="F32" s="3">
        <v>8068.0</v>
      </c>
      <c r="G32" s="5">
        <v>6.482</v>
      </c>
      <c r="H32" s="4">
        <v>20.09</v>
      </c>
      <c r="I32" s="10">
        <f t="shared" ref="I32:I294" si="10">if(F32&gt;0,F32-F31," ")</f>
        <v>266</v>
      </c>
      <c r="J32" s="11">
        <f t="shared" si="9"/>
        <v>41.03671706</v>
      </c>
      <c r="K32" s="13">
        <f t="shared" si="3"/>
        <v>621.84</v>
      </c>
      <c r="L32" s="11">
        <f t="shared" si="4"/>
        <v>214.085</v>
      </c>
      <c r="M32" s="11">
        <f t="shared" si="5"/>
        <v>39.28232344</v>
      </c>
      <c r="N32" s="12">
        <f t="shared" si="6"/>
        <v>0.07707486366</v>
      </c>
      <c r="P32" s="11">
        <f t="shared" si="7"/>
        <v>39.744482</v>
      </c>
    </row>
    <row r="33">
      <c r="A33" s="9">
        <v>40498.0</v>
      </c>
      <c r="B33" s="3" t="s">
        <v>87</v>
      </c>
      <c r="C33" s="3" t="s">
        <v>88</v>
      </c>
      <c r="D33" s="3" t="s">
        <v>89</v>
      </c>
      <c r="E33" s="4">
        <v>2.899</v>
      </c>
      <c r="F33" s="3">
        <v>8317.0</v>
      </c>
      <c r="G33" s="5">
        <v>6.997</v>
      </c>
      <c r="H33" s="4">
        <v>20.28</v>
      </c>
      <c r="I33" s="10">
        <f t="shared" si="10"/>
        <v>249</v>
      </c>
      <c r="J33" s="11">
        <f t="shared" si="9"/>
        <v>35.58668001</v>
      </c>
      <c r="K33" s="13">
        <f t="shared" si="3"/>
        <v>642.12</v>
      </c>
      <c r="L33" s="11">
        <f t="shared" si="4"/>
        <v>221.082</v>
      </c>
      <c r="M33" s="11">
        <f t="shared" si="5"/>
        <v>39.16056916</v>
      </c>
      <c r="N33" s="12">
        <f t="shared" si="6"/>
        <v>0.07720572322</v>
      </c>
      <c r="P33" s="11">
        <f t="shared" si="7"/>
        <v>38.29257578</v>
      </c>
    </row>
    <row r="34">
      <c r="A34" s="9">
        <v>40499.0</v>
      </c>
      <c r="B34" s="3" t="s">
        <v>90</v>
      </c>
      <c r="C34" s="3" t="s">
        <v>91</v>
      </c>
      <c r="D34" s="3" t="s">
        <v>92</v>
      </c>
      <c r="E34" s="4">
        <v>2.929</v>
      </c>
      <c r="F34" s="3">
        <v>8574.0</v>
      </c>
      <c r="G34" s="5">
        <v>6.564</v>
      </c>
      <c r="H34" s="4">
        <v>19.22</v>
      </c>
      <c r="I34" s="10">
        <f t="shared" si="10"/>
        <v>257</v>
      </c>
      <c r="J34" s="11">
        <f t="shared" si="9"/>
        <v>39.15295551</v>
      </c>
      <c r="K34" s="13">
        <f t="shared" si="3"/>
        <v>661.34</v>
      </c>
      <c r="L34" s="11">
        <f t="shared" si="4"/>
        <v>227.646</v>
      </c>
      <c r="M34" s="11">
        <f t="shared" si="5"/>
        <v>39.16034091</v>
      </c>
      <c r="N34" s="12">
        <f t="shared" si="6"/>
        <v>0.07713319338</v>
      </c>
      <c r="P34" s="11">
        <f t="shared" si="7"/>
        <v>38.09592569</v>
      </c>
    </row>
    <row r="35">
      <c r="A35" s="9">
        <v>40499.0</v>
      </c>
      <c r="B35" s="3" t="s">
        <v>93</v>
      </c>
      <c r="C35" s="3" t="s">
        <v>33</v>
      </c>
      <c r="D35" s="3" t="s">
        <v>84</v>
      </c>
      <c r="E35" s="4">
        <v>3.099</v>
      </c>
      <c r="F35" s="3">
        <v>8756.0</v>
      </c>
      <c r="G35" s="5">
        <v>5.54</v>
      </c>
      <c r="H35" s="4">
        <v>17.17</v>
      </c>
      <c r="I35" s="10">
        <f t="shared" si="10"/>
        <v>182</v>
      </c>
      <c r="J35" s="11">
        <f t="shared" si="9"/>
        <v>32.85198556</v>
      </c>
      <c r="K35" s="13">
        <f t="shared" si="3"/>
        <v>678.51</v>
      </c>
      <c r="L35" s="11">
        <f t="shared" si="4"/>
        <v>233.186</v>
      </c>
      <c r="M35" s="11">
        <f t="shared" si="5"/>
        <v>39.00465953</v>
      </c>
      <c r="N35" s="12">
        <f t="shared" si="6"/>
        <v>0.07749086341</v>
      </c>
      <c r="P35" s="11">
        <f t="shared" si="7"/>
        <v>37.97565466</v>
      </c>
    </row>
    <row r="36">
      <c r="A36" s="9">
        <v>40503.0</v>
      </c>
      <c r="B36" s="3" t="s">
        <v>94</v>
      </c>
      <c r="C36" s="3" t="s">
        <v>33</v>
      </c>
      <c r="D36" s="3" t="s">
        <v>65</v>
      </c>
      <c r="E36" s="4">
        <v>3.199</v>
      </c>
      <c r="F36" s="3">
        <v>9005.0</v>
      </c>
      <c r="G36" s="5">
        <v>6.232</v>
      </c>
      <c r="H36" s="4">
        <v>19.94</v>
      </c>
      <c r="I36" s="10">
        <f t="shared" si="10"/>
        <v>249</v>
      </c>
      <c r="J36" s="11">
        <f t="shared" si="9"/>
        <v>39.9550706</v>
      </c>
      <c r="K36" s="13">
        <f t="shared" si="3"/>
        <v>698.45</v>
      </c>
      <c r="L36" s="11">
        <f t="shared" si="4"/>
        <v>239.418</v>
      </c>
      <c r="M36" s="11">
        <f t="shared" si="5"/>
        <v>39.0303314</v>
      </c>
      <c r="N36" s="12">
        <f t="shared" si="6"/>
        <v>0.0775624653</v>
      </c>
      <c r="P36" s="11">
        <f t="shared" si="7"/>
        <v>38.38941556</v>
      </c>
    </row>
    <row r="37">
      <c r="A37" s="9">
        <v>40503.0</v>
      </c>
      <c r="B37" s="3" t="s">
        <v>95</v>
      </c>
      <c r="C37" s="3" t="s">
        <v>33</v>
      </c>
      <c r="D37" s="3" t="s">
        <v>21</v>
      </c>
      <c r="E37" s="4">
        <v>3.099</v>
      </c>
      <c r="F37" s="3">
        <v>9230.0</v>
      </c>
      <c r="G37" s="5">
        <v>6.795</v>
      </c>
      <c r="H37" s="4">
        <v>21.06</v>
      </c>
      <c r="I37" s="10">
        <f t="shared" si="10"/>
        <v>225</v>
      </c>
      <c r="J37" s="11">
        <f t="shared" si="9"/>
        <v>33.11258278</v>
      </c>
      <c r="K37" s="13">
        <f t="shared" si="3"/>
        <v>719.51</v>
      </c>
      <c r="L37" s="11">
        <f t="shared" si="4"/>
        <v>246.213</v>
      </c>
      <c r="M37" s="11">
        <f t="shared" si="5"/>
        <v>38.86103076</v>
      </c>
      <c r="N37" s="12">
        <f t="shared" si="6"/>
        <v>0.07795341278</v>
      </c>
      <c r="P37" s="11">
        <f t="shared" si="7"/>
        <v>36.98523699</v>
      </c>
    </row>
    <row r="38">
      <c r="A38" s="9">
        <v>40503.0</v>
      </c>
      <c r="B38" s="3" t="s">
        <v>96</v>
      </c>
      <c r="C38" s="3" t="s">
        <v>97</v>
      </c>
      <c r="D38" s="3" t="s">
        <v>21</v>
      </c>
      <c r="E38" s="4">
        <v>2.899</v>
      </c>
      <c r="F38" s="3">
        <v>9430.0</v>
      </c>
      <c r="G38" s="5">
        <v>5.849</v>
      </c>
      <c r="H38" s="4">
        <v>16.96</v>
      </c>
      <c r="I38" s="10">
        <f t="shared" si="10"/>
        <v>200</v>
      </c>
      <c r="J38" s="11">
        <f t="shared" si="9"/>
        <v>34.1938793</v>
      </c>
      <c r="K38" s="13">
        <f t="shared" si="3"/>
        <v>736.47</v>
      </c>
      <c r="L38" s="11">
        <f t="shared" si="4"/>
        <v>252.062</v>
      </c>
      <c r="M38" s="11">
        <f t="shared" si="5"/>
        <v>38.74885972</v>
      </c>
      <c r="N38" s="12">
        <f t="shared" si="6"/>
        <v>0.07809862142</v>
      </c>
      <c r="P38" s="11">
        <f t="shared" si="7"/>
        <v>35.86381231</v>
      </c>
    </row>
    <row r="39">
      <c r="A39" s="9">
        <v>40504.0</v>
      </c>
      <c r="B39" s="3" t="s">
        <v>98</v>
      </c>
      <c r="C39" s="3" t="s">
        <v>97</v>
      </c>
      <c r="D39" s="3" t="s">
        <v>99</v>
      </c>
      <c r="E39" s="4">
        <v>3.029</v>
      </c>
      <c r="F39" s="3">
        <v>9633.0</v>
      </c>
      <c r="G39" s="5">
        <v>5.666</v>
      </c>
      <c r="H39" s="4">
        <v>17.16</v>
      </c>
      <c r="I39" s="10">
        <f t="shared" si="10"/>
        <v>203</v>
      </c>
      <c r="J39" s="11">
        <f t="shared" si="9"/>
        <v>35.82774444</v>
      </c>
      <c r="K39" s="13">
        <f t="shared" si="3"/>
        <v>753.63</v>
      </c>
      <c r="L39" s="11">
        <f t="shared" si="4"/>
        <v>257.728</v>
      </c>
      <c r="M39" s="11">
        <f t="shared" si="5"/>
        <v>38.68239716</v>
      </c>
      <c r="N39" s="12">
        <f t="shared" si="6"/>
        <v>0.07823419495</v>
      </c>
      <c r="P39" s="11">
        <f t="shared" si="7"/>
        <v>35.91114992</v>
      </c>
    </row>
    <row r="40">
      <c r="A40" s="9">
        <v>40505.0</v>
      </c>
      <c r="B40" s="3" t="s">
        <v>100</v>
      </c>
      <c r="C40" s="3" t="s">
        <v>27</v>
      </c>
      <c r="D40" s="3" t="s">
        <v>21</v>
      </c>
      <c r="E40" s="4">
        <v>3.089</v>
      </c>
      <c r="F40" s="3">
        <v>9944.0</v>
      </c>
      <c r="G40" s="5">
        <v>7.185</v>
      </c>
      <c r="H40" s="4">
        <v>22.19</v>
      </c>
      <c r="I40" s="10">
        <f t="shared" si="10"/>
        <v>311</v>
      </c>
      <c r="J40" s="11">
        <f t="shared" si="9"/>
        <v>43.28462074</v>
      </c>
      <c r="K40" s="13">
        <f t="shared" si="3"/>
        <v>775.82</v>
      </c>
      <c r="L40" s="11">
        <f t="shared" si="4"/>
        <v>264.913</v>
      </c>
      <c r="M40" s="11">
        <f t="shared" si="5"/>
        <v>38.81145765</v>
      </c>
      <c r="N40" s="12">
        <f t="shared" si="6"/>
        <v>0.07801890587</v>
      </c>
      <c r="P40" s="11">
        <f t="shared" si="7"/>
        <v>36.76174632</v>
      </c>
    </row>
    <row r="41">
      <c r="A41" s="9">
        <v>40506.0</v>
      </c>
      <c r="B41" s="3" t="s">
        <v>101</v>
      </c>
      <c r="C41" s="3" t="s">
        <v>27</v>
      </c>
      <c r="D41" s="3" t="s">
        <v>102</v>
      </c>
      <c r="E41" s="4">
        <v>3.179</v>
      </c>
      <c r="F41" s="3">
        <v>10228.0</v>
      </c>
      <c r="G41" s="5">
        <v>7.005</v>
      </c>
      <c r="H41" s="4">
        <v>22.27</v>
      </c>
      <c r="I41" s="10">
        <f t="shared" si="10"/>
        <v>284</v>
      </c>
      <c r="J41" s="11">
        <f t="shared" si="9"/>
        <v>40.54246966</v>
      </c>
      <c r="K41" s="13">
        <f t="shared" si="3"/>
        <v>798.09</v>
      </c>
      <c r="L41" s="11">
        <f t="shared" si="4"/>
        <v>271.918</v>
      </c>
      <c r="M41" s="11">
        <f t="shared" si="5"/>
        <v>38.85752494</v>
      </c>
      <c r="N41" s="12">
        <f t="shared" si="6"/>
        <v>0.07802991787</v>
      </c>
      <c r="P41" s="11">
        <f t="shared" si="7"/>
        <v>38.00475059</v>
      </c>
    </row>
    <row r="42">
      <c r="A42" s="9">
        <v>40506.0</v>
      </c>
      <c r="B42" s="3" t="s">
        <v>103</v>
      </c>
      <c r="C42" s="3" t="s">
        <v>17</v>
      </c>
      <c r="D42" s="3" t="s">
        <v>104</v>
      </c>
      <c r="E42" s="4">
        <v>3.299</v>
      </c>
      <c r="F42" s="3">
        <v>10443.0</v>
      </c>
      <c r="G42" s="5">
        <v>7.056</v>
      </c>
      <c r="H42" s="4">
        <v>23.28</v>
      </c>
      <c r="I42" s="10">
        <f t="shared" si="10"/>
        <v>215</v>
      </c>
      <c r="J42" s="11">
        <f t="shared" si="9"/>
        <v>30.47052154</v>
      </c>
      <c r="K42" s="13">
        <f t="shared" si="3"/>
        <v>821.37</v>
      </c>
      <c r="L42" s="11">
        <f t="shared" si="4"/>
        <v>278.974</v>
      </c>
      <c r="M42" s="11">
        <f t="shared" si="5"/>
        <v>38.63856679</v>
      </c>
      <c r="N42" s="12">
        <f t="shared" si="6"/>
        <v>0.07865268601</v>
      </c>
      <c r="P42" s="11">
        <f t="shared" si="7"/>
        <v>36.35352412</v>
      </c>
    </row>
    <row r="43">
      <c r="A43" s="9">
        <v>40511.0</v>
      </c>
      <c r="B43" s="3" t="s">
        <v>20</v>
      </c>
      <c r="C43" s="3" t="s">
        <v>17</v>
      </c>
      <c r="D43" s="3" t="s">
        <v>21</v>
      </c>
      <c r="E43" s="4">
        <v>3.339</v>
      </c>
      <c r="F43" s="3">
        <v>10647.0</v>
      </c>
      <c r="G43" s="5">
        <v>5.749</v>
      </c>
      <c r="H43" s="4">
        <v>19.28</v>
      </c>
      <c r="I43" s="10">
        <f t="shared" si="10"/>
        <v>204</v>
      </c>
      <c r="J43" s="11">
        <f t="shared" si="9"/>
        <v>35.48443208</v>
      </c>
      <c r="K43" s="13">
        <f t="shared" si="3"/>
        <v>840.65</v>
      </c>
      <c r="L43" s="11">
        <f t="shared" si="4"/>
        <v>284.723</v>
      </c>
      <c r="M43" s="11">
        <f t="shared" si="5"/>
        <v>38.57287255</v>
      </c>
      <c r="N43" s="12">
        <f t="shared" si="6"/>
        <v>0.07895651357</v>
      </c>
      <c r="O43" s="3" t="s">
        <v>105</v>
      </c>
      <c r="P43" s="11">
        <f t="shared" si="7"/>
        <v>36.7956375</v>
      </c>
    </row>
    <row r="44">
      <c r="A44" s="9">
        <v>40539.0</v>
      </c>
      <c r="B44" s="3" t="s">
        <v>20</v>
      </c>
      <c r="C44" s="3" t="s">
        <v>17</v>
      </c>
      <c r="D44" s="3" t="s">
        <v>21</v>
      </c>
      <c r="E44" s="4">
        <v>3.519</v>
      </c>
      <c r="F44" s="3">
        <v>10916.0</v>
      </c>
      <c r="G44" s="5">
        <v>7.09</v>
      </c>
      <c r="H44" s="4">
        <v>24.95</v>
      </c>
      <c r="I44" s="10">
        <f t="shared" si="10"/>
        <v>269</v>
      </c>
      <c r="J44" s="11">
        <f t="shared" si="9"/>
        <v>37.94076164</v>
      </c>
      <c r="K44" s="13">
        <f t="shared" si="3"/>
        <v>865.6</v>
      </c>
      <c r="L44" s="11">
        <f t="shared" si="4"/>
        <v>291.813</v>
      </c>
      <c r="M44" s="11">
        <f t="shared" si="5"/>
        <v>38.55704259</v>
      </c>
      <c r="N44" s="12">
        <f t="shared" si="6"/>
        <v>0.07929644558</v>
      </c>
      <c r="O44" s="3" t="s">
        <v>106</v>
      </c>
      <c r="P44" s="11">
        <f t="shared" si="7"/>
        <v>37.38270735</v>
      </c>
    </row>
    <row r="45">
      <c r="A45" s="9">
        <v>40602.0</v>
      </c>
      <c r="B45" s="3" t="s">
        <v>107</v>
      </c>
      <c r="C45" s="3" t="s">
        <v>17</v>
      </c>
      <c r="D45" s="3" t="s">
        <v>108</v>
      </c>
      <c r="E45" s="4">
        <v>3.859</v>
      </c>
      <c r="F45" s="3">
        <v>11098.0</v>
      </c>
      <c r="G45" s="5">
        <v>4.493</v>
      </c>
      <c r="H45" s="4">
        <v>17.34</v>
      </c>
      <c r="I45" s="10">
        <f t="shared" si="10"/>
        <v>182</v>
      </c>
      <c r="J45" s="11">
        <f t="shared" si="9"/>
        <v>40.50745604</v>
      </c>
      <c r="K45" s="13">
        <f t="shared" si="3"/>
        <v>882.94</v>
      </c>
      <c r="L45" s="11">
        <f t="shared" si="4"/>
        <v>296.306</v>
      </c>
      <c r="M45" s="11">
        <f t="shared" si="5"/>
        <v>38.58751208</v>
      </c>
      <c r="N45" s="12">
        <f t="shared" si="6"/>
        <v>0.07955847901</v>
      </c>
      <c r="O45" s="3" t="s">
        <v>109</v>
      </c>
      <c r="P45" s="11">
        <f t="shared" si="7"/>
        <v>37.97501166</v>
      </c>
    </row>
    <row r="46">
      <c r="A46" s="9">
        <v>40604.0</v>
      </c>
      <c r="B46" s="3" t="s">
        <v>110</v>
      </c>
      <c r="C46" s="3" t="s">
        <v>17</v>
      </c>
      <c r="D46" s="3" t="s">
        <v>65</v>
      </c>
      <c r="E46" s="4">
        <v>3.939</v>
      </c>
      <c r="F46" s="3">
        <v>11313.0</v>
      </c>
      <c r="G46" s="5">
        <v>5.695</v>
      </c>
      <c r="H46" s="4">
        <v>22.43</v>
      </c>
      <c r="I46" s="10">
        <f t="shared" si="10"/>
        <v>215</v>
      </c>
      <c r="J46" s="11">
        <f t="shared" si="9"/>
        <v>37.7524144</v>
      </c>
      <c r="K46" s="13">
        <f t="shared" si="3"/>
        <v>905.37</v>
      </c>
      <c r="L46" s="11">
        <f t="shared" si="4"/>
        <v>302.001</v>
      </c>
      <c r="M46" s="11">
        <f t="shared" si="5"/>
        <v>38.57129706</v>
      </c>
      <c r="N46" s="12">
        <f t="shared" si="6"/>
        <v>0.08002916998</v>
      </c>
      <c r="O46" s="3" t="s">
        <v>111</v>
      </c>
      <c r="P46" s="11">
        <f t="shared" si="7"/>
        <v>36.9122088</v>
      </c>
    </row>
    <row r="47">
      <c r="A47" s="9">
        <v>40604.0</v>
      </c>
      <c r="B47" s="3" t="s">
        <v>20</v>
      </c>
      <c r="C47" s="3" t="s">
        <v>17</v>
      </c>
      <c r="D47" s="3" t="s">
        <v>21</v>
      </c>
      <c r="E47" s="4">
        <v>3.999</v>
      </c>
      <c r="F47" s="3">
        <v>11551.0</v>
      </c>
      <c r="G47" s="5">
        <v>5.779</v>
      </c>
      <c r="H47" s="4">
        <v>23.11</v>
      </c>
      <c r="I47" s="10">
        <f t="shared" si="10"/>
        <v>238</v>
      </c>
      <c r="J47" s="11">
        <f t="shared" si="9"/>
        <v>41.18359578</v>
      </c>
      <c r="K47" s="13">
        <f t="shared" si="3"/>
        <v>928.48</v>
      </c>
      <c r="L47" s="11">
        <f t="shared" si="4"/>
        <v>307.78</v>
      </c>
      <c r="M47" s="11">
        <f t="shared" si="5"/>
        <v>38.62177344</v>
      </c>
      <c r="N47" s="12">
        <f t="shared" si="6"/>
        <v>0.0803809194</v>
      </c>
      <c r="O47" s="3" t="s">
        <v>112</v>
      </c>
      <c r="P47" s="11">
        <f t="shared" si="7"/>
        <v>36.8914171</v>
      </c>
    </row>
    <row r="48">
      <c r="A48" s="9">
        <v>40669.0</v>
      </c>
      <c r="B48" s="3" t="s">
        <v>113</v>
      </c>
      <c r="C48" s="3" t="s">
        <v>17</v>
      </c>
      <c r="D48" s="3" t="s">
        <v>104</v>
      </c>
      <c r="E48" s="4">
        <v>4.499</v>
      </c>
      <c r="F48" s="3">
        <v>11794.0</v>
      </c>
      <c r="G48" s="5">
        <v>5.729</v>
      </c>
      <c r="H48" s="4">
        <v>25.77</v>
      </c>
      <c r="I48" s="10">
        <f t="shared" si="10"/>
        <v>243</v>
      </c>
      <c r="J48" s="11">
        <f t="shared" si="9"/>
        <v>42.41577937</v>
      </c>
      <c r="K48" s="13">
        <f t="shared" si="3"/>
        <v>954.25</v>
      </c>
      <c r="L48" s="11">
        <f t="shared" si="4"/>
        <v>313.509</v>
      </c>
      <c r="M48" s="11">
        <f t="shared" si="5"/>
        <v>38.69308321</v>
      </c>
      <c r="N48" s="12">
        <f t="shared" si="6"/>
        <v>0.08090978464</v>
      </c>
      <c r="O48" s="3" t="s">
        <v>114</v>
      </c>
      <c r="P48" s="11">
        <f t="shared" si="7"/>
        <v>39.1197336</v>
      </c>
    </row>
    <row r="49">
      <c r="A49" s="9">
        <v>40669.0</v>
      </c>
      <c r="B49" s="3" t="s">
        <v>115</v>
      </c>
      <c r="C49" s="3" t="s">
        <v>17</v>
      </c>
      <c r="D49" s="3" t="s">
        <v>116</v>
      </c>
      <c r="E49" s="4">
        <v>4.499</v>
      </c>
      <c r="F49" s="3">
        <v>12034.0</v>
      </c>
      <c r="G49" s="5">
        <v>6.881</v>
      </c>
      <c r="H49" s="4">
        <v>30.96</v>
      </c>
      <c r="I49" s="10">
        <f t="shared" si="10"/>
        <v>240</v>
      </c>
      <c r="J49" s="11">
        <f t="shared" si="9"/>
        <v>34.87865136</v>
      </c>
      <c r="K49" s="13">
        <f t="shared" si="3"/>
        <v>985.21</v>
      </c>
      <c r="L49" s="11">
        <f t="shared" si="4"/>
        <v>320.39</v>
      </c>
      <c r="M49" s="11">
        <f t="shared" si="5"/>
        <v>38.6088742</v>
      </c>
      <c r="N49" s="12">
        <f t="shared" si="6"/>
        <v>0.08186887153</v>
      </c>
      <c r="O49" s="3" t="s">
        <v>117</v>
      </c>
      <c r="P49" s="11">
        <f t="shared" si="7"/>
        <v>38.88748703</v>
      </c>
    </row>
    <row r="50">
      <c r="A50" s="9">
        <v>40670.0</v>
      </c>
      <c r="B50" s="3" t="s">
        <v>118</v>
      </c>
      <c r="C50" s="3" t="s">
        <v>17</v>
      </c>
      <c r="D50" s="3" t="s">
        <v>21</v>
      </c>
      <c r="E50" s="4">
        <v>4.499</v>
      </c>
      <c r="F50" s="3">
        <v>12278.0</v>
      </c>
      <c r="G50" s="5">
        <v>6.432</v>
      </c>
      <c r="H50" s="4">
        <v>28.94</v>
      </c>
      <c r="I50" s="10">
        <f t="shared" si="10"/>
        <v>244</v>
      </c>
      <c r="J50" s="11">
        <f t="shared" si="9"/>
        <v>37.93532338</v>
      </c>
      <c r="K50" s="13">
        <f t="shared" si="3"/>
        <v>1014.15</v>
      </c>
      <c r="L50" s="11">
        <f t="shared" si="4"/>
        <v>326.822</v>
      </c>
      <c r="M50" s="11">
        <f t="shared" si="5"/>
        <v>38.59525591</v>
      </c>
      <c r="N50" s="12">
        <f t="shared" si="6"/>
        <v>0.08259895748</v>
      </c>
      <c r="O50" s="3" t="s">
        <v>119</v>
      </c>
      <c r="P50" s="11">
        <f t="shared" si="7"/>
        <v>38.90428176</v>
      </c>
    </row>
    <row r="51">
      <c r="A51" s="9">
        <v>40671.0</v>
      </c>
      <c r="B51" s="3" t="s">
        <v>120</v>
      </c>
      <c r="C51" s="3" t="s">
        <v>17</v>
      </c>
      <c r="D51" s="3" t="s">
        <v>121</v>
      </c>
      <c r="E51" s="4">
        <v>4.729</v>
      </c>
      <c r="F51" s="3">
        <v>12559.0</v>
      </c>
      <c r="G51" s="5">
        <v>6.703</v>
      </c>
      <c r="H51" s="4">
        <v>31.7</v>
      </c>
      <c r="I51" s="10">
        <f t="shared" si="10"/>
        <v>281</v>
      </c>
      <c r="J51" s="11">
        <f t="shared" si="9"/>
        <v>41.92152767</v>
      </c>
      <c r="K51" s="13">
        <f t="shared" si="3"/>
        <v>1045.85</v>
      </c>
      <c r="L51" s="11">
        <f t="shared" si="4"/>
        <v>333.525</v>
      </c>
      <c r="M51" s="11">
        <f t="shared" si="5"/>
        <v>38.66389594</v>
      </c>
      <c r="N51" s="12">
        <f t="shared" si="6"/>
        <v>0.08327494227</v>
      </c>
      <c r="O51" s="3" t="s">
        <v>122</v>
      </c>
      <c r="P51" s="11">
        <f t="shared" si="7"/>
        <v>39.25414439</v>
      </c>
    </row>
    <row r="52">
      <c r="A52" s="9">
        <v>40673.0</v>
      </c>
      <c r="B52" s="3" t="s">
        <v>123</v>
      </c>
      <c r="C52" s="3" t="s">
        <v>17</v>
      </c>
      <c r="D52" s="3" t="s">
        <v>124</v>
      </c>
      <c r="E52" s="4">
        <v>4.479</v>
      </c>
      <c r="F52" s="3">
        <v>12850.0</v>
      </c>
      <c r="G52" s="5">
        <v>7.115</v>
      </c>
      <c r="H52" s="4">
        <v>31.87</v>
      </c>
      <c r="I52" s="10">
        <f t="shared" si="10"/>
        <v>291</v>
      </c>
      <c r="J52" s="11">
        <f t="shared" si="9"/>
        <v>40.89950808</v>
      </c>
      <c r="K52" s="13">
        <f t="shared" si="3"/>
        <v>1077.72</v>
      </c>
      <c r="L52" s="11">
        <f t="shared" si="4"/>
        <v>340.64</v>
      </c>
      <c r="M52" s="11">
        <f t="shared" si="5"/>
        <v>38.71181539</v>
      </c>
      <c r="N52" s="12">
        <f t="shared" si="6"/>
        <v>0.0838692607</v>
      </c>
      <c r="O52" s="3" t="s">
        <v>125</v>
      </c>
      <c r="P52" s="11">
        <f t="shared" si="7"/>
        <v>39.77846218</v>
      </c>
    </row>
    <row r="53">
      <c r="A53" s="9">
        <v>40673.0</v>
      </c>
      <c r="B53" s="3" t="s">
        <v>126</v>
      </c>
      <c r="C53" s="3" t="s">
        <v>17</v>
      </c>
      <c r="D53" s="3" t="s">
        <v>104</v>
      </c>
      <c r="E53" s="4">
        <v>4.599</v>
      </c>
      <c r="F53" s="3">
        <v>13148.0</v>
      </c>
      <c r="G53" s="5">
        <v>6.654</v>
      </c>
      <c r="H53" s="4">
        <v>30.6</v>
      </c>
      <c r="I53" s="10">
        <f t="shared" si="10"/>
        <v>298</v>
      </c>
      <c r="J53" s="11">
        <f t="shared" si="9"/>
        <v>44.78509167</v>
      </c>
      <c r="K53" s="13">
        <f t="shared" si="3"/>
        <v>1108.32</v>
      </c>
      <c r="L53" s="11">
        <f t="shared" si="4"/>
        <v>347.294</v>
      </c>
      <c r="M53" s="11">
        <f t="shared" si="5"/>
        <v>38.83116653</v>
      </c>
      <c r="N53" s="12">
        <f t="shared" si="6"/>
        <v>0.08429571037</v>
      </c>
      <c r="O53" s="3" t="s">
        <v>127</v>
      </c>
      <c r="P53" s="11">
        <f t="shared" si="7"/>
        <v>40.41605507</v>
      </c>
    </row>
    <row r="54">
      <c r="A54" s="9">
        <v>40674.0</v>
      </c>
      <c r="B54" s="3" t="s">
        <v>128</v>
      </c>
      <c r="C54" s="3" t="s">
        <v>17</v>
      </c>
      <c r="D54" s="3" t="s">
        <v>129</v>
      </c>
      <c r="E54" s="4">
        <v>4.459</v>
      </c>
      <c r="F54" s="3">
        <v>13410.0</v>
      </c>
      <c r="G54" s="5">
        <v>6.463</v>
      </c>
      <c r="H54" s="4">
        <v>28.82</v>
      </c>
      <c r="I54" s="10">
        <f t="shared" si="10"/>
        <v>262</v>
      </c>
      <c r="J54" s="11">
        <f t="shared" si="9"/>
        <v>40.53844964</v>
      </c>
      <c r="K54" s="13">
        <f t="shared" si="3"/>
        <v>1137.14</v>
      </c>
      <c r="L54" s="11">
        <f t="shared" si="4"/>
        <v>353.757</v>
      </c>
      <c r="M54" s="11">
        <f t="shared" si="5"/>
        <v>38.86314435</v>
      </c>
      <c r="N54" s="12">
        <f t="shared" si="6"/>
        <v>0.08479791201</v>
      </c>
      <c r="O54" s="3" t="s">
        <v>130</v>
      </c>
      <c r="P54" s="11">
        <f t="shared" si="7"/>
        <v>40.15106341</v>
      </c>
    </row>
    <row r="55">
      <c r="A55" s="9">
        <v>40717.0</v>
      </c>
      <c r="B55" s="3" t="s">
        <v>20</v>
      </c>
      <c r="C55" s="3" t="s">
        <v>17</v>
      </c>
      <c r="D55" s="3" t="s">
        <v>21</v>
      </c>
      <c r="E55" s="4">
        <v>3.0</v>
      </c>
      <c r="F55" s="3">
        <v>13683.0</v>
      </c>
      <c r="G55" s="5">
        <v>8.101</v>
      </c>
      <c r="H55" s="4">
        <v>32.48</v>
      </c>
      <c r="I55" s="10">
        <f t="shared" si="10"/>
        <v>273</v>
      </c>
      <c r="J55" s="11">
        <f t="shared" si="9"/>
        <v>33.69954327</v>
      </c>
      <c r="K55" s="13">
        <f t="shared" si="3"/>
        <v>1169.62</v>
      </c>
      <c r="L55" s="11">
        <f t="shared" si="4"/>
        <v>361.858</v>
      </c>
      <c r="M55" s="11">
        <f t="shared" si="5"/>
        <v>38.74469784</v>
      </c>
      <c r="N55" s="12">
        <f t="shared" si="6"/>
        <v>0.08547979244</v>
      </c>
      <c r="P55" s="11">
        <f t="shared" si="7"/>
        <v>39.76560239</v>
      </c>
    </row>
    <row r="56">
      <c r="A56" s="9">
        <v>40719.0</v>
      </c>
      <c r="B56" s="3" t="s">
        <v>131</v>
      </c>
      <c r="C56" s="3" t="s">
        <v>17</v>
      </c>
      <c r="D56" s="3" t="s">
        <v>129</v>
      </c>
      <c r="E56" s="4">
        <v>4.599</v>
      </c>
      <c r="F56" s="3">
        <v>13925.0</v>
      </c>
      <c r="G56" s="5">
        <v>6.319</v>
      </c>
      <c r="H56" s="4">
        <v>29.86</v>
      </c>
      <c r="I56" s="10">
        <f t="shared" si="10"/>
        <v>242</v>
      </c>
      <c r="J56" s="11">
        <f t="shared" si="9"/>
        <v>38.29719892</v>
      </c>
      <c r="K56" s="13">
        <f t="shared" si="3"/>
        <v>1199.48</v>
      </c>
      <c r="L56" s="11">
        <f t="shared" si="4"/>
        <v>368.177</v>
      </c>
      <c r="M56" s="11">
        <f t="shared" si="5"/>
        <v>38.73683156</v>
      </c>
      <c r="N56" s="12">
        <f t="shared" si="6"/>
        <v>0.08613859964</v>
      </c>
      <c r="P56" s="11">
        <f t="shared" si="7"/>
        <v>39.82589771</v>
      </c>
    </row>
    <row r="57">
      <c r="A57" s="9">
        <v>40719.0</v>
      </c>
      <c r="B57" s="3" t="s">
        <v>132</v>
      </c>
      <c r="C57" s="3" t="s">
        <v>27</v>
      </c>
      <c r="D57" s="3" t="s">
        <v>104</v>
      </c>
      <c r="E57" s="4">
        <v>4.199</v>
      </c>
      <c r="F57" s="3">
        <v>14168.0</v>
      </c>
      <c r="G57" s="5">
        <v>7.624</v>
      </c>
      <c r="H57" s="4">
        <v>30.5</v>
      </c>
      <c r="I57" s="10">
        <f t="shared" si="10"/>
        <v>243</v>
      </c>
      <c r="J57" s="11">
        <f t="shared" si="9"/>
        <v>31.87303253</v>
      </c>
      <c r="K57" s="13">
        <f t="shared" si="3"/>
        <v>1229.98</v>
      </c>
      <c r="L57" s="11">
        <f t="shared" si="4"/>
        <v>375.801</v>
      </c>
      <c r="M57" s="11">
        <f t="shared" si="5"/>
        <v>38.59428332</v>
      </c>
      <c r="N57" s="12">
        <f t="shared" si="6"/>
        <v>0.08681394692</v>
      </c>
      <c r="P57" s="11">
        <f t="shared" si="7"/>
        <v>38.05941906</v>
      </c>
    </row>
    <row r="58">
      <c r="A58" s="9">
        <v>40721.0</v>
      </c>
      <c r="B58" s="3" t="s">
        <v>133</v>
      </c>
      <c r="C58" s="3" t="s">
        <v>97</v>
      </c>
      <c r="D58" s="3" t="s">
        <v>134</v>
      </c>
      <c r="E58" s="4">
        <v>3.559</v>
      </c>
      <c r="F58" s="3">
        <v>14476.0</v>
      </c>
      <c r="G58" s="5">
        <v>8.134</v>
      </c>
      <c r="H58" s="4">
        <v>28.95</v>
      </c>
      <c r="I58" s="10">
        <f t="shared" si="10"/>
        <v>308</v>
      </c>
      <c r="J58" s="11">
        <f t="shared" si="9"/>
        <v>37.86574871</v>
      </c>
      <c r="K58" s="13">
        <f t="shared" si="3"/>
        <v>1258.93</v>
      </c>
      <c r="L58" s="11">
        <f t="shared" si="4"/>
        <v>383.935</v>
      </c>
      <c r="M58" s="11">
        <f t="shared" si="5"/>
        <v>38.57849081</v>
      </c>
      <c r="N58" s="12">
        <f t="shared" si="6"/>
        <v>0.08696670351</v>
      </c>
      <c r="P58" s="11">
        <f t="shared" si="7"/>
        <v>37.5562998</v>
      </c>
    </row>
    <row r="59">
      <c r="A59" s="9">
        <v>40722.0</v>
      </c>
      <c r="B59" s="3" t="s">
        <v>135</v>
      </c>
      <c r="C59" s="3" t="s">
        <v>97</v>
      </c>
      <c r="D59" s="3" t="s">
        <v>134</v>
      </c>
      <c r="E59" s="4">
        <v>3.659</v>
      </c>
      <c r="F59" s="3">
        <v>14738.0</v>
      </c>
      <c r="G59" s="5">
        <v>6.883</v>
      </c>
      <c r="H59" s="4">
        <v>25.18</v>
      </c>
      <c r="I59" s="10">
        <f t="shared" si="10"/>
        <v>262</v>
      </c>
      <c r="J59" s="11">
        <f t="shared" si="9"/>
        <v>38.06479733</v>
      </c>
      <c r="K59" s="13">
        <f t="shared" si="3"/>
        <v>1284.11</v>
      </c>
      <c r="L59" s="11">
        <f t="shared" si="4"/>
        <v>390.818</v>
      </c>
      <c r="M59" s="11">
        <f t="shared" si="5"/>
        <v>38.56923777</v>
      </c>
      <c r="N59" s="12">
        <f t="shared" si="6"/>
        <v>0.08712918985</v>
      </c>
      <c r="P59" s="11">
        <f t="shared" si="7"/>
        <v>36.53156879</v>
      </c>
    </row>
    <row r="60">
      <c r="A60" s="9">
        <v>40722.0</v>
      </c>
      <c r="B60" s="3" t="s">
        <v>136</v>
      </c>
      <c r="C60" s="3" t="s">
        <v>33</v>
      </c>
      <c r="D60" s="3" t="s">
        <v>134</v>
      </c>
      <c r="E60" s="4">
        <v>3.859</v>
      </c>
      <c r="F60" s="3">
        <v>14983.0</v>
      </c>
      <c r="G60" s="5">
        <v>6.793</v>
      </c>
      <c r="H60" s="4">
        <v>26.21</v>
      </c>
      <c r="I60" s="10">
        <f t="shared" si="10"/>
        <v>245</v>
      </c>
      <c r="J60" s="11">
        <f t="shared" si="9"/>
        <v>36.06653908</v>
      </c>
      <c r="K60" s="13">
        <f t="shared" si="3"/>
        <v>1310.32</v>
      </c>
      <c r="L60" s="11">
        <f t="shared" si="4"/>
        <v>397.611</v>
      </c>
      <c r="M60" s="11">
        <f t="shared" si="5"/>
        <v>38.52552383</v>
      </c>
      <c r="N60" s="12">
        <f t="shared" si="6"/>
        <v>0.08745378095</v>
      </c>
      <c r="P60" s="11">
        <f t="shared" si="7"/>
        <v>35.86901993</v>
      </c>
    </row>
    <row r="61">
      <c r="A61" s="9">
        <v>40726.0</v>
      </c>
      <c r="B61" s="3" t="s">
        <v>137</v>
      </c>
      <c r="C61" s="3" t="s">
        <v>33</v>
      </c>
      <c r="D61" s="3" t="s">
        <v>138</v>
      </c>
      <c r="E61" s="4">
        <v>3.699</v>
      </c>
      <c r="F61" s="3">
        <v>15262.0</v>
      </c>
      <c r="G61" s="5">
        <v>7.682</v>
      </c>
      <c r="H61" s="4">
        <v>28.42</v>
      </c>
      <c r="I61" s="10">
        <f t="shared" si="10"/>
        <v>279</v>
      </c>
      <c r="J61" s="11">
        <f t="shared" si="9"/>
        <v>36.31866701</v>
      </c>
      <c r="K61" s="13">
        <f t="shared" si="3"/>
        <v>1338.74</v>
      </c>
      <c r="L61" s="11">
        <f t="shared" si="4"/>
        <v>405.293</v>
      </c>
      <c r="M61" s="11">
        <f t="shared" si="5"/>
        <v>38.48277705</v>
      </c>
      <c r="N61" s="12">
        <f t="shared" si="6"/>
        <v>0.08771720613</v>
      </c>
      <c r="P61" s="11">
        <f t="shared" si="7"/>
        <v>36.35317141</v>
      </c>
    </row>
    <row r="62">
      <c r="A62" s="9">
        <v>40726.0</v>
      </c>
      <c r="B62" s="3" t="s">
        <v>139</v>
      </c>
      <c r="C62" s="3" t="s">
        <v>33</v>
      </c>
      <c r="D62" s="3" t="s">
        <v>21</v>
      </c>
      <c r="E62" s="4">
        <v>3.679</v>
      </c>
      <c r="F62" s="3">
        <v>15509.0</v>
      </c>
      <c r="G62" s="5">
        <v>7.889</v>
      </c>
      <c r="H62" s="4">
        <v>26.88</v>
      </c>
      <c r="I62" s="10">
        <f t="shared" si="10"/>
        <v>247</v>
      </c>
      <c r="J62" s="11">
        <f t="shared" si="9"/>
        <v>31.30941818</v>
      </c>
      <c r="K62" s="13">
        <f t="shared" si="3"/>
        <v>1365.62</v>
      </c>
      <c r="L62" s="11">
        <f t="shared" si="4"/>
        <v>413.182</v>
      </c>
      <c r="M62" s="11">
        <f t="shared" si="5"/>
        <v>38.34286816</v>
      </c>
      <c r="N62" s="12">
        <f t="shared" si="6"/>
        <v>0.08805338836</v>
      </c>
      <c r="P62" s="11">
        <f t="shared" si="7"/>
        <v>35.19608932</v>
      </c>
    </row>
    <row r="63">
      <c r="A63" s="9">
        <v>40727.0</v>
      </c>
      <c r="B63" s="3" t="s">
        <v>140</v>
      </c>
      <c r="C63" s="3" t="s">
        <v>141</v>
      </c>
      <c r="D63" s="3" t="s">
        <v>142</v>
      </c>
      <c r="E63" s="4">
        <v>3.759</v>
      </c>
      <c r="F63" s="3">
        <v>15795.0</v>
      </c>
      <c r="G63" s="5">
        <v>8.293</v>
      </c>
      <c r="H63" s="4">
        <v>31.17</v>
      </c>
      <c r="I63" s="10">
        <f t="shared" si="10"/>
        <v>286</v>
      </c>
      <c r="J63" s="11">
        <f t="shared" si="9"/>
        <v>34.48691668</v>
      </c>
      <c r="K63" s="13">
        <f t="shared" si="3"/>
        <v>1396.79</v>
      </c>
      <c r="L63" s="11">
        <f t="shared" si="4"/>
        <v>421.475</v>
      </c>
      <c r="M63" s="11">
        <f t="shared" si="5"/>
        <v>38.26539883</v>
      </c>
      <c r="N63" s="12">
        <f t="shared" si="6"/>
        <v>0.08843241532</v>
      </c>
      <c r="P63" s="11">
        <f t="shared" si="7"/>
        <v>35.6220169</v>
      </c>
    </row>
    <row r="64">
      <c r="A64" s="9">
        <v>40728.0</v>
      </c>
      <c r="B64" s="3" t="s">
        <v>143</v>
      </c>
      <c r="C64" s="3" t="s">
        <v>88</v>
      </c>
      <c r="D64" s="3" t="s">
        <v>144</v>
      </c>
      <c r="E64" s="4">
        <v>3.699</v>
      </c>
      <c r="F64" s="3">
        <v>16041.0</v>
      </c>
      <c r="G64" s="5">
        <v>6.931</v>
      </c>
      <c r="H64" s="4">
        <v>25.64</v>
      </c>
      <c r="I64" s="10">
        <f t="shared" si="10"/>
        <v>246</v>
      </c>
      <c r="J64" s="11">
        <f t="shared" si="9"/>
        <v>35.49271389</v>
      </c>
      <c r="K64" s="13">
        <f t="shared" si="3"/>
        <v>1422.43</v>
      </c>
      <c r="L64" s="11">
        <f t="shared" si="4"/>
        <v>428.406</v>
      </c>
      <c r="M64" s="11">
        <f t="shared" si="5"/>
        <v>38.21961087</v>
      </c>
      <c r="N64" s="12">
        <f t="shared" si="6"/>
        <v>0.08867464622</v>
      </c>
      <c r="P64" s="11">
        <f t="shared" si="7"/>
        <v>35.19147309</v>
      </c>
    </row>
    <row r="65">
      <c r="A65" s="9">
        <v>40729.0</v>
      </c>
      <c r="B65" s="3" t="s">
        <v>145</v>
      </c>
      <c r="C65" s="3" t="s">
        <v>91</v>
      </c>
      <c r="D65" s="3" t="s">
        <v>146</v>
      </c>
      <c r="E65" s="4">
        <v>3.679</v>
      </c>
      <c r="F65" s="3">
        <v>16266.0</v>
      </c>
      <c r="G65" s="5">
        <v>6.46</v>
      </c>
      <c r="H65" s="4">
        <v>23.77</v>
      </c>
      <c r="I65" s="10">
        <f t="shared" si="10"/>
        <v>225</v>
      </c>
      <c r="J65" s="11">
        <f t="shared" si="9"/>
        <v>34.82972136</v>
      </c>
      <c r="K65" s="13">
        <f t="shared" si="3"/>
        <v>1446.2</v>
      </c>
      <c r="L65" s="11">
        <f t="shared" si="4"/>
        <v>434.866</v>
      </c>
      <c r="M65" s="11">
        <f t="shared" si="5"/>
        <v>38.16822553</v>
      </c>
      <c r="N65" s="12">
        <f t="shared" si="6"/>
        <v>0.08890938153</v>
      </c>
      <c r="P65" s="11">
        <f t="shared" si="7"/>
        <v>34.68942971</v>
      </c>
    </row>
    <row r="66">
      <c r="A66" s="9">
        <v>40729.0</v>
      </c>
      <c r="B66" s="3" t="s">
        <v>147</v>
      </c>
      <c r="C66" s="3" t="s">
        <v>49</v>
      </c>
      <c r="D66" s="3" t="s">
        <v>148</v>
      </c>
      <c r="E66" s="4">
        <v>3.799</v>
      </c>
      <c r="F66" s="3">
        <v>16507.0</v>
      </c>
      <c r="G66" s="5">
        <v>7.68</v>
      </c>
      <c r="H66" s="4">
        <v>29.18</v>
      </c>
      <c r="I66" s="10">
        <f t="shared" si="10"/>
        <v>241</v>
      </c>
      <c r="J66" s="11">
        <f t="shared" si="9"/>
        <v>31.38020833</v>
      </c>
      <c r="K66" s="13">
        <f t="shared" si="3"/>
        <v>1475.38</v>
      </c>
      <c r="L66" s="11">
        <f t="shared" si="4"/>
        <v>442.546</v>
      </c>
      <c r="M66" s="11">
        <f t="shared" si="5"/>
        <v>38.04806314</v>
      </c>
      <c r="N66" s="12">
        <f t="shared" si="6"/>
        <v>0.08937905131</v>
      </c>
      <c r="P66" s="11">
        <f t="shared" si="7"/>
        <v>33.91565595</v>
      </c>
    </row>
    <row r="67">
      <c r="A67" s="9">
        <v>40736.0</v>
      </c>
      <c r="B67" s="3" t="s">
        <v>149</v>
      </c>
      <c r="C67" s="3" t="s">
        <v>49</v>
      </c>
      <c r="D67" s="3" t="s">
        <v>148</v>
      </c>
      <c r="E67" s="4">
        <v>3.879</v>
      </c>
      <c r="F67" s="3">
        <v>16703.0</v>
      </c>
      <c r="G67" s="5">
        <v>6.868</v>
      </c>
      <c r="H67" s="4">
        <v>26.64</v>
      </c>
      <c r="I67" s="10">
        <f t="shared" si="10"/>
        <v>196</v>
      </c>
      <c r="J67" s="11">
        <f t="shared" si="9"/>
        <v>28.53814793</v>
      </c>
      <c r="K67" s="13">
        <f t="shared" si="3"/>
        <v>1502.02</v>
      </c>
      <c r="L67" s="11">
        <f t="shared" si="4"/>
        <v>449.414</v>
      </c>
      <c r="M67" s="11">
        <f t="shared" si="5"/>
        <v>37.8998625</v>
      </c>
      <c r="N67" s="12">
        <f t="shared" si="6"/>
        <v>0.08992516314</v>
      </c>
      <c r="P67" s="11">
        <f t="shared" si="7"/>
        <v>32.66018449</v>
      </c>
    </row>
    <row r="68">
      <c r="A68" s="9">
        <v>40738.0</v>
      </c>
      <c r="B68" s="3" t="s">
        <v>150</v>
      </c>
      <c r="C68" s="3" t="s">
        <v>49</v>
      </c>
      <c r="D68" s="3" t="s">
        <v>134</v>
      </c>
      <c r="E68" s="4">
        <v>3.659</v>
      </c>
      <c r="F68" s="3">
        <v>16864.0</v>
      </c>
      <c r="G68" s="5">
        <v>3.545</v>
      </c>
      <c r="H68" s="4">
        <v>12.97</v>
      </c>
      <c r="I68" s="10">
        <f t="shared" si="10"/>
        <v>161</v>
      </c>
      <c r="J68" s="11">
        <f t="shared" si="9"/>
        <v>45.41607898</v>
      </c>
      <c r="K68" s="13">
        <f t="shared" si="3"/>
        <v>1514.99</v>
      </c>
      <c r="L68" s="11">
        <f t="shared" si="4"/>
        <v>452.959</v>
      </c>
      <c r="M68" s="11">
        <f t="shared" si="5"/>
        <v>37.95983874</v>
      </c>
      <c r="N68" s="12">
        <f t="shared" si="6"/>
        <v>0.08983574478</v>
      </c>
      <c r="P68" s="11">
        <f t="shared" si="7"/>
        <v>34.06491188</v>
      </c>
    </row>
    <row r="69">
      <c r="A69" s="9">
        <v>40738.0</v>
      </c>
      <c r="B69" s="3" t="s">
        <v>151</v>
      </c>
      <c r="C69" s="3" t="s">
        <v>45</v>
      </c>
      <c r="D69" s="3" t="s">
        <v>50</v>
      </c>
      <c r="E69" s="4">
        <v>3.769</v>
      </c>
      <c r="F69" s="3">
        <v>17031.0</v>
      </c>
      <c r="G69" s="5">
        <v>5.475</v>
      </c>
      <c r="H69" s="4">
        <v>20.64</v>
      </c>
      <c r="I69" s="10">
        <f t="shared" si="10"/>
        <v>167</v>
      </c>
      <c r="J69" s="11">
        <f t="shared" si="9"/>
        <v>30.50228311</v>
      </c>
      <c r="K69" s="13">
        <f t="shared" si="3"/>
        <v>1535.63</v>
      </c>
      <c r="L69" s="11">
        <f t="shared" si="4"/>
        <v>458.434</v>
      </c>
      <c r="M69" s="11">
        <f t="shared" si="5"/>
        <v>37.86905148</v>
      </c>
      <c r="N69" s="12">
        <f t="shared" si="6"/>
        <v>0.09016675474</v>
      </c>
      <c r="P69" s="11">
        <f t="shared" si="7"/>
        <v>33.44246327</v>
      </c>
    </row>
    <row r="70">
      <c r="A70" s="9">
        <v>40739.0</v>
      </c>
      <c r="B70" s="3" t="s">
        <v>152</v>
      </c>
      <c r="C70" s="3" t="s">
        <v>45</v>
      </c>
      <c r="D70" s="3" t="s">
        <v>134</v>
      </c>
      <c r="E70" s="4">
        <v>3.699</v>
      </c>
      <c r="F70" s="3">
        <v>17271.0</v>
      </c>
      <c r="G70" s="5">
        <v>6.274</v>
      </c>
      <c r="H70" s="4">
        <v>23.21</v>
      </c>
      <c r="I70" s="10">
        <f t="shared" si="10"/>
        <v>240</v>
      </c>
      <c r="J70" s="11">
        <f t="shared" si="9"/>
        <v>38.25310807</v>
      </c>
      <c r="K70" s="13">
        <f t="shared" si="3"/>
        <v>1558.84</v>
      </c>
      <c r="L70" s="11">
        <f t="shared" si="4"/>
        <v>464.708</v>
      </c>
      <c r="M70" s="11">
        <f t="shared" si="5"/>
        <v>37.87433554</v>
      </c>
      <c r="N70" s="12">
        <f t="shared" si="6"/>
        <v>0.09025765734</v>
      </c>
      <c r="P70" s="11">
        <f t="shared" si="7"/>
        <v>33.88243072</v>
      </c>
    </row>
    <row r="71">
      <c r="A71" s="9">
        <v>40739.0</v>
      </c>
      <c r="B71" s="3" t="s">
        <v>153</v>
      </c>
      <c r="C71" s="3" t="s">
        <v>154</v>
      </c>
      <c r="D71" s="3" t="s">
        <v>155</v>
      </c>
      <c r="E71" s="4">
        <v>3.749</v>
      </c>
      <c r="F71" s="3">
        <v>17465.0</v>
      </c>
      <c r="G71" s="5">
        <v>6.017</v>
      </c>
      <c r="H71" s="4">
        <v>22.56</v>
      </c>
      <c r="I71" s="10">
        <f t="shared" si="10"/>
        <v>194</v>
      </c>
      <c r="J71" s="11">
        <f t="shared" si="9"/>
        <v>32.24198105</v>
      </c>
      <c r="K71" s="13">
        <f t="shared" si="3"/>
        <v>1581.4</v>
      </c>
      <c r="L71" s="11">
        <f t="shared" si="4"/>
        <v>470.725</v>
      </c>
      <c r="M71" s="11">
        <f t="shared" si="5"/>
        <v>37.8009848</v>
      </c>
      <c r="N71" s="12">
        <f t="shared" si="6"/>
        <v>0.0905468079</v>
      </c>
      <c r="P71" s="11">
        <f t="shared" si="7"/>
        <v>33.43651524</v>
      </c>
    </row>
    <row r="72">
      <c r="A72" s="9">
        <v>40740.0</v>
      </c>
      <c r="B72" s="3" t="s">
        <v>156</v>
      </c>
      <c r="C72" s="3" t="s">
        <v>154</v>
      </c>
      <c r="D72" s="3" t="s">
        <v>21</v>
      </c>
      <c r="E72" s="4">
        <v>4.039</v>
      </c>
      <c r="F72" s="3">
        <v>17737.0</v>
      </c>
      <c r="G72" s="5">
        <v>6.414</v>
      </c>
      <c r="H72" s="4">
        <v>25.91</v>
      </c>
      <c r="I72" s="10">
        <f t="shared" si="10"/>
        <v>272</v>
      </c>
      <c r="J72" s="11">
        <f t="shared" si="9"/>
        <v>42.40723418</v>
      </c>
      <c r="K72" s="13">
        <f t="shared" si="3"/>
        <v>1607.31</v>
      </c>
      <c r="L72" s="11">
        <f t="shared" si="4"/>
        <v>477.139</v>
      </c>
      <c r="M72" s="11">
        <f t="shared" si="5"/>
        <v>37.86405487</v>
      </c>
      <c r="N72" s="12">
        <f t="shared" si="6"/>
        <v>0.09061904493</v>
      </c>
      <c r="P72" s="11">
        <f t="shared" si="7"/>
        <v>35.55632642</v>
      </c>
    </row>
    <row r="73">
      <c r="A73" s="9">
        <v>40740.0</v>
      </c>
      <c r="B73" s="3" t="s">
        <v>157</v>
      </c>
      <c r="C73" s="3" t="s">
        <v>158</v>
      </c>
      <c r="D73" s="3" t="s">
        <v>104</v>
      </c>
      <c r="E73" s="4">
        <v>3.799</v>
      </c>
      <c r="F73" s="3">
        <v>17936.0</v>
      </c>
      <c r="G73" s="5">
        <v>5.392</v>
      </c>
      <c r="H73" s="4">
        <v>20.48</v>
      </c>
      <c r="I73" s="10">
        <f t="shared" si="10"/>
        <v>199</v>
      </c>
      <c r="J73" s="11">
        <f t="shared" si="9"/>
        <v>36.90652819</v>
      </c>
      <c r="K73" s="13">
        <f t="shared" si="3"/>
        <v>1627.79</v>
      </c>
      <c r="L73" s="11">
        <f t="shared" si="4"/>
        <v>482.531</v>
      </c>
      <c r="M73" s="11">
        <f t="shared" si="5"/>
        <v>37.85315862</v>
      </c>
      <c r="N73" s="12">
        <f t="shared" si="6"/>
        <v>0.09075546387</v>
      </c>
      <c r="P73" s="11">
        <f t="shared" si="7"/>
        <v>37.2316333</v>
      </c>
    </row>
    <row r="74">
      <c r="A74" s="9">
        <v>40742.0</v>
      </c>
      <c r="B74" s="3" t="s">
        <v>159</v>
      </c>
      <c r="C74" s="3" t="s">
        <v>158</v>
      </c>
      <c r="D74" s="3" t="s">
        <v>160</v>
      </c>
      <c r="E74" s="4">
        <v>3.879</v>
      </c>
      <c r="F74" s="3">
        <v>18094.0</v>
      </c>
      <c r="G74" s="5">
        <v>3.553</v>
      </c>
      <c r="H74" s="4">
        <v>13.78</v>
      </c>
      <c r="I74" s="10">
        <f t="shared" si="10"/>
        <v>158</v>
      </c>
      <c r="J74" s="11">
        <f t="shared" si="9"/>
        <v>44.46946243</v>
      </c>
      <c r="K74" s="13">
        <f t="shared" si="3"/>
        <v>1641.57</v>
      </c>
      <c r="L74" s="11">
        <f t="shared" si="4"/>
        <v>486.084</v>
      </c>
      <c r="M74" s="11">
        <f t="shared" si="5"/>
        <v>37.90240142</v>
      </c>
      <c r="N74" s="12">
        <f t="shared" si="6"/>
        <v>0.09072454957</v>
      </c>
      <c r="P74" s="11">
        <f t="shared" si="7"/>
        <v>37.13207547</v>
      </c>
    </row>
    <row r="75">
      <c r="A75" s="9">
        <v>40742.0</v>
      </c>
      <c r="B75" s="3" t="s">
        <v>161</v>
      </c>
      <c r="C75" s="3" t="s">
        <v>158</v>
      </c>
      <c r="D75" s="3" t="s">
        <v>134</v>
      </c>
      <c r="E75" s="4">
        <v>3.749</v>
      </c>
      <c r="F75" s="3">
        <v>18320.0</v>
      </c>
      <c r="G75" s="5">
        <v>6.571</v>
      </c>
      <c r="H75" s="4">
        <v>24.63</v>
      </c>
      <c r="I75" s="10">
        <f t="shared" si="10"/>
        <v>226</v>
      </c>
      <c r="J75" s="11">
        <f t="shared" si="9"/>
        <v>34.39354741</v>
      </c>
      <c r="K75" s="13">
        <f t="shared" si="3"/>
        <v>1666.2</v>
      </c>
      <c r="L75" s="11">
        <f t="shared" si="4"/>
        <v>492.655</v>
      </c>
      <c r="M75" s="11">
        <f t="shared" si="5"/>
        <v>37.85475922</v>
      </c>
      <c r="N75" s="12">
        <f t="shared" si="6"/>
        <v>0.09094978166</v>
      </c>
      <c r="P75" s="11">
        <f t="shared" si="7"/>
        <v>37.66692966</v>
      </c>
    </row>
    <row r="76">
      <c r="A76" s="9">
        <v>40742.0</v>
      </c>
      <c r="B76" s="3" t="s">
        <v>162</v>
      </c>
      <c r="C76" s="3" t="s">
        <v>163</v>
      </c>
      <c r="D76" s="3" t="s">
        <v>134</v>
      </c>
      <c r="E76" s="4">
        <v>3.799</v>
      </c>
      <c r="F76" s="3">
        <v>18468.0</v>
      </c>
      <c r="G76" s="5">
        <v>4.262</v>
      </c>
      <c r="H76" s="4">
        <v>16.19</v>
      </c>
      <c r="I76" s="10">
        <f t="shared" si="10"/>
        <v>148</v>
      </c>
      <c r="J76" s="11">
        <f t="shared" si="9"/>
        <v>34.72548099</v>
      </c>
      <c r="K76" s="13">
        <f t="shared" si="3"/>
        <v>1682.39</v>
      </c>
      <c r="L76" s="11">
        <f t="shared" si="4"/>
        <v>496.917</v>
      </c>
      <c r="M76" s="11">
        <f t="shared" si="5"/>
        <v>37.82744149</v>
      </c>
      <c r="N76" s="12">
        <f t="shared" si="6"/>
        <v>0.09109757418</v>
      </c>
      <c r="P76" s="11">
        <f t="shared" si="7"/>
        <v>37.16352572</v>
      </c>
    </row>
    <row r="77">
      <c r="A77" s="9">
        <v>40743.0</v>
      </c>
      <c r="B77" s="3" t="s">
        <v>164</v>
      </c>
      <c r="C77" s="3" t="s">
        <v>17</v>
      </c>
      <c r="D77" s="3" t="s">
        <v>129</v>
      </c>
      <c r="E77" s="4">
        <v>4.499</v>
      </c>
      <c r="F77" s="3">
        <v>18640.0</v>
      </c>
      <c r="G77" s="5">
        <v>5.399</v>
      </c>
      <c r="H77" s="4">
        <v>24.29</v>
      </c>
      <c r="I77" s="10">
        <f t="shared" si="10"/>
        <v>172</v>
      </c>
      <c r="J77" s="11">
        <f t="shared" si="9"/>
        <v>31.85775144</v>
      </c>
      <c r="K77" s="13">
        <f t="shared" si="3"/>
        <v>1706.68</v>
      </c>
      <c r="L77" s="11">
        <f t="shared" si="4"/>
        <v>502.316</v>
      </c>
      <c r="M77" s="11">
        <f t="shared" si="5"/>
        <v>37.76214709</v>
      </c>
      <c r="N77" s="12">
        <f t="shared" si="6"/>
        <v>0.09156008584</v>
      </c>
      <c r="P77" s="11">
        <f t="shared" si="7"/>
        <v>37.19413757</v>
      </c>
    </row>
    <row r="78">
      <c r="A78" s="9">
        <v>40830.0</v>
      </c>
      <c r="B78" s="3" t="s">
        <v>165</v>
      </c>
      <c r="C78" s="3" t="s">
        <v>17</v>
      </c>
      <c r="D78" s="3" t="s">
        <v>104</v>
      </c>
      <c r="E78" s="4">
        <v>4.119</v>
      </c>
      <c r="F78" s="3">
        <v>18933.0</v>
      </c>
      <c r="G78" s="5">
        <v>7.528</v>
      </c>
      <c r="H78" s="4">
        <v>31.01</v>
      </c>
      <c r="I78" s="10">
        <f t="shared" si="10"/>
        <v>293</v>
      </c>
      <c r="J78" s="11">
        <f t="shared" si="9"/>
        <v>38.92136026</v>
      </c>
      <c r="K78" s="13">
        <f t="shared" si="3"/>
        <v>1737.69</v>
      </c>
      <c r="L78" s="11">
        <f t="shared" si="4"/>
        <v>509.844</v>
      </c>
      <c r="M78" s="11">
        <f t="shared" si="5"/>
        <v>37.77956037</v>
      </c>
      <c r="N78" s="12">
        <f t="shared" si="6"/>
        <v>0.09178101727</v>
      </c>
      <c r="P78" s="11">
        <f t="shared" si="7"/>
        <v>36.56933191</v>
      </c>
    </row>
    <row r="79">
      <c r="A79" s="9">
        <v>40832.0</v>
      </c>
      <c r="B79" s="3" t="s">
        <v>166</v>
      </c>
      <c r="C79" s="3" t="s">
        <v>17</v>
      </c>
      <c r="D79" s="3" t="s">
        <v>167</v>
      </c>
      <c r="E79" s="4">
        <v>4.029</v>
      </c>
      <c r="F79" s="3">
        <v>19221.0</v>
      </c>
      <c r="G79" s="5">
        <v>7.322</v>
      </c>
      <c r="H79" s="4">
        <v>29.5</v>
      </c>
      <c r="I79" s="10">
        <f t="shared" si="10"/>
        <v>288</v>
      </c>
      <c r="J79" s="11">
        <f t="shared" si="9"/>
        <v>39.33351543</v>
      </c>
      <c r="K79" s="13">
        <f t="shared" si="3"/>
        <v>1767.19</v>
      </c>
      <c r="L79" s="11">
        <f t="shared" si="4"/>
        <v>517.166</v>
      </c>
      <c r="M79" s="11">
        <f t="shared" si="5"/>
        <v>37.80193759</v>
      </c>
      <c r="N79" s="12">
        <f t="shared" si="6"/>
        <v>0.09194058582</v>
      </c>
      <c r="P79" s="11">
        <f t="shared" si="7"/>
        <v>37.10119821</v>
      </c>
    </row>
    <row r="80">
      <c r="A80" s="9">
        <v>40833.0</v>
      </c>
      <c r="B80" s="3" t="s">
        <v>168</v>
      </c>
      <c r="C80" s="3" t="s">
        <v>17</v>
      </c>
      <c r="D80" s="3" t="s">
        <v>21</v>
      </c>
      <c r="E80" s="4">
        <v>4.089</v>
      </c>
      <c r="F80" s="3">
        <v>19491.0</v>
      </c>
      <c r="G80" s="5">
        <v>7.385</v>
      </c>
      <c r="H80" s="4">
        <v>29.87</v>
      </c>
      <c r="I80" s="10">
        <f t="shared" si="10"/>
        <v>270</v>
      </c>
      <c r="J80" s="11">
        <f t="shared" si="9"/>
        <v>36.5605958</v>
      </c>
      <c r="K80" s="13">
        <f t="shared" si="3"/>
        <v>1797.06</v>
      </c>
      <c r="L80" s="11">
        <f t="shared" si="4"/>
        <v>524.551</v>
      </c>
      <c r="M80" s="11">
        <f t="shared" si="5"/>
        <v>37.78416636</v>
      </c>
      <c r="N80" s="12">
        <f t="shared" si="6"/>
        <v>0.09219947668</v>
      </c>
      <c r="P80" s="11">
        <f t="shared" si="7"/>
        <v>36.31684301</v>
      </c>
    </row>
    <row r="81">
      <c r="A81" s="9">
        <v>40836.0</v>
      </c>
      <c r="B81" s="3" t="s">
        <v>169</v>
      </c>
      <c r="C81" s="3" t="s">
        <v>17</v>
      </c>
      <c r="D81" s="3" t="s">
        <v>104</v>
      </c>
      <c r="E81" s="4">
        <v>4.809</v>
      </c>
      <c r="F81" s="3">
        <v>19768.0</v>
      </c>
      <c r="G81" s="5">
        <v>6.2</v>
      </c>
      <c r="H81" s="4">
        <v>29.82</v>
      </c>
      <c r="I81" s="10">
        <f t="shared" si="10"/>
        <v>277</v>
      </c>
      <c r="J81" s="11">
        <f t="shared" si="9"/>
        <v>44.67741935</v>
      </c>
      <c r="K81" s="13">
        <f t="shared" si="3"/>
        <v>1826.88</v>
      </c>
      <c r="L81" s="11">
        <f t="shared" si="4"/>
        <v>530.751</v>
      </c>
      <c r="M81" s="11">
        <f t="shared" si="5"/>
        <v>37.86603225</v>
      </c>
      <c r="N81" s="12">
        <f t="shared" si="6"/>
        <v>0.0924160259</v>
      </c>
      <c r="P81" s="11">
        <f t="shared" si="7"/>
        <v>38.00923982</v>
      </c>
    </row>
    <row r="82">
      <c r="A82" s="9">
        <v>40838.0</v>
      </c>
      <c r="B82" s="3" t="s">
        <v>170</v>
      </c>
      <c r="C82" s="3" t="s">
        <v>17</v>
      </c>
      <c r="D82" s="3" t="s">
        <v>65</v>
      </c>
      <c r="E82" s="4">
        <v>4.299</v>
      </c>
      <c r="F82" s="3">
        <v>20020.0</v>
      </c>
      <c r="G82" s="5">
        <v>5.208</v>
      </c>
      <c r="H82" s="4">
        <v>22.39</v>
      </c>
      <c r="I82" s="10">
        <f t="shared" si="10"/>
        <v>252</v>
      </c>
      <c r="J82" s="11">
        <f t="shared" si="9"/>
        <v>48.38709677</v>
      </c>
      <c r="K82" s="13">
        <f t="shared" si="3"/>
        <v>1849.27</v>
      </c>
      <c r="L82" s="11">
        <f t="shared" si="4"/>
        <v>535.959</v>
      </c>
      <c r="M82" s="11">
        <f t="shared" si="5"/>
        <v>37.96995405</v>
      </c>
      <c r="N82" s="12">
        <f t="shared" si="6"/>
        <v>0.09237112887</v>
      </c>
      <c r="P82" s="11">
        <f t="shared" si="7"/>
        <v>39.75206188</v>
      </c>
    </row>
    <row r="83">
      <c r="A83" s="9">
        <v>40839.0</v>
      </c>
      <c r="B83" s="3" t="s">
        <v>165</v>
      </c>
      <c r="C83" s="3" t="s">
        <v>17</v>
      </c>
      <c r="D83" s="3" t="s">
        <v>104</v>
      </c>
      <c r="E83" s="4">
        <v>4.159</v>
      </c>
      <c r="F83" s="3">
        <v>20345.0</v>
      </c>
      <c r="G83" s="5">
        <v>7.307</v>
      </c>
      <c r="H83" s="4">
        <v>30.39</v>
      </c>
      <c r="I83" s="10">
        <f t="shared" si="10"/>
        <v>325</v>
      </c>
      <c r="J83" s="11">
        <f t="shared" si="9"/>
        <v>44.47789791</v>
      </c>
      <c r="K83" s="13">
        <f t="shared" si="3"/>
        <v>1879.66</v>
      </c>
      <c r="L83" s="11">
        <f t="shared" si="4"/>
        <v>543.266</v>
      </c>
      <c r="M83" s="11">
        <f t="shared" si="5"/>
        <v>38.05891134</v>
      </c>
      <c r="N83" s="12">
        <f t="shared" si="6"/>
        <v>0.09238928484</v>
      </c>
      <c r="P83" s="11">
        <f t="shared" si="7"/>
        <v>41.63614164</v>
      </c>
    </row>
    <row r="84">
      <c r="A84" s="9">
        <v>40842.0</v>
      </c>
      <c r="B84" s="3" t="s">
        <v>171</v>
      </c>
      <c r="C84" s="3" t="s">
        <v>17</v>
      </c>
      <c r="D84" s="3" t="s">
        <v>21</v>
      </c>
      <c r="E84" s="4">
        <v>4.079</v>
      </c>
      <c r="F84" s="3">
        <v>20524.0</v>
      </c>
      <c r="G84" s="5">
        <v>5.419</v>
      </c>
      <c r="H84" s="4">
        <v>22.1</v>
      </c>
      <c r="I84" s="10">
        <f t="shared" si="10"/>
        <v>179</v>
      </c>
      <c r="J84" s="11">
        <f t="shared" si="9"/>
        <v>33.03192471</v>
      </c>
      <c r="K84" s="13">
        <f t="shared" si="3"/>
        <v>1901.76</v>
      </c>
      <c r="L84" s="11">
        <f t="shared" si="4"/>
        <v>548.685</v>
      </c>
      <c r="M84" s="11">
        <f t="shared" si="5"/>
        <v>38.0084632</v>
      </c>
      <c r="N84" s="12">
        <f t="shared" si="6"/>
        <v>0.09266030014</v>
      </c>
      <c r="P84" s="11">
        <f t="shared" si="7"/>
        <v>40.96187019</v>
      </c>
    </row>
    <row r="85">
      <c r="A85" s="9">
        <v>40893.0</v>
      </c>
      <c r="B85" s="3" t="s">
        <v>171</v>
      </c>
      <c r="C85" s="3" t="s">
        <v>17</v>
      </c>
      <c r="D85" s="3" t="s">
        <v>21</v>
      </c>
      <c r="E85" s="4">
        <v>3.759</v>
      </c>
      <c r="F85" s="3">
        <v>20793.0</v>
      </c>
      <c r="G85" s="5">
        <v>7.142</v>
      </c>
      <c r="H85" s="4">
        <v>26.85</v>
      </c>
      <c r="I85" s="10">
        <f t="shared" si="10"/>
        <v>269</v>
      </c>
      <c r="J85" s="11">
        <f t="shared" si="9"/>
        <v>37.66451974</v>
      </c>
      <c r="K85" s="13">
        <f t="shared" si="3"/>
        <v>1928.61</v>
      </c>
      <c r="L85" s="11">
        <f t="shared" si="4"/>
        <v>555.827</v>
      </c>
      <c r="M85" s="11">
        <f t="shared" si="5"/>
        <v>38.00397348</v>
      </c>
      <c r="N85" s="12">
        <f t="shared" si="6"/>
        <v>0.09275284952</v>
      </c>
      <c r="P85" s="11">
        <f t="shared" si="7"/>
        <v>40.66113137</v>
      </c>
    </row>
    <row r="86">
      <c r="A86" s="9">
        <v>40897.0</v>
      </c>
      <c r="B86" s="3" t="s">
        <v>171</v>
      </c>
      <c r="C86" s="3" t="s">
        <v>17</v>
      </c>
      <c r="D86" s="3" t="s">
        <v>21</v>
      </c>
      <c r="E86" s="4">
        <v>3.759</v>
      </c>
      <c r="F86" s="3">
        <v>20944.0</v>
      </c>
      <c r="G86" s="5">
        <v>4.192</v>
      </c>
      <c r="H86" s="4">
        <v>15.76</v>
      </c>
      <c r="I86" s="10">
        <f t="shared" si="10"/>
        <v>151</v>
      </c>
      <c r="J86" s="11">
        <f t="shared" si="9"/>
        <v>36.02099237</v>
      </c>
      <c r="K86" s="13">
        <f t="shared" si="3"/>
        <v>1944.37</v>
      </c>
      <c r="L86" s="11">
        <f t="shared" si="4"/>
        <v>560.019</v>
      </c>
      <c r="M86" s="11">
        <f t="shared" si="5"/>
        <v>37.98889572</v>
      </c>
      <c r="N86" s="12">
        <f t="shared" si="6"/>
        <v>0.09283661192</v>
      </c>
      <c r="P86" s="11">
        <f t="shared" si="7"/>
        <v>40.96650502</v>
      </c>
    </row>
    <row r="87">
      <c r="A87" s="9">
        <v>40905.0</v>
      </c>
      <c r="B87" s="3" t="s">
        <v>171</v>
      </c>
      <c r="C87" s="3" t="s">
        <v>17</v>
      </c>
      <c r="D87" s="3" t="s">
        <v>104</v>
      </c>
      <c r="E87" s="4">
        <v>3.839</v>
      </c>
      <c r="F87" s="3">
        <v>21191.0</v>
      </c>
      <c r="G87" s="5">
        <v>6.567</v>
      </c>
      <c r="H87" s="4">
        <v>25.21</v>
      </c>
      <c r="I87" s="10">
        <f t="shared" si="10"/>
        <v>247</v>
      </c>
      <c r="J87" s="11">
        <f t="shared" si="9"/>
        <v>37.61230394</v>
      </c>
      <c r="K87" s="13">
        <f t="shared" si="3"/>
        <v>1969.58</v>
      </c>
      <c r="L87" s="11">
        <f t="shared" si="4"/>
        <v>566.586</v>
      </c>
      <c r="M87" s="11">
        <f t="shared" si="5"/>
        <v>37.98446278</v>
      </c>
      <c r="N87" s="12">
        <f t="shared" si="6"/>
        <v>0.09294417441</v>
      </c>
      <c r="P87" s="11">
        <f t="shared" si="7"/>
        <v>39.70978094</v>
      </c>
    </row>
    <row r="88">
      <c r="A88" s="9">
        <v>40933.0</v>
      </c>
      <c r="B88" s="3" t="s">
        <v>171</v>
      </c>
      <c r="C88" s="3" t="s">
        <v>17</v>
      </c>
      <c r="D88" s="3" t="s">
        <v>21</v>
      </c>
      <c r="E88" s="4">
        <v>3.939</v>
      </c>
      <c r="F88" s="3">
        <v>21293.0</v>
      </c>
      <c r="G88" s="5">
        <v>2.727</v>
      </c>
      <c r="H88" s="4">
        <v>10.74</v>
      </c>
      <c r="I88" s="10">
        <f t="shared" si="10"/>
        <v>102</v>
      </c>
      <c r="J88" s="11">
        <f t="shared" si="9"/>
        <v>37.40374037</v>
      </c>
      <c r="K88" s="13">
        <f t="shared" si="3"/>
        <v>1980.32</v>
      </c>
      <c r="L88" s="11">
        <f t="shared" si="4"/>
        <v>569.313</v>
      </c>
      <c r="M88" s="11">
        <f t="shared" si="5"/>
        <v>37.98163796</v>
      </c>
      <c r="N88" s="12">
        <f t="shared" si="6"/>
        <v>0.09300333443</v>
      </c>
      <c r="P88" s="11">
        <f t="shared" si="7"/>
        <v>38.16633687</v>
      </c>
    </row>
    <row r="89">
      <c r="A89" s="9">
        <v>40935.0</v>
      </c>
      <c r="B89" s="3" t="s">
        <v>172</v>
      </c>
      <c r="C89" s="3" t="s">
        <v>27</v>
      </c>
      <c r="D89" s="3" t="s">
        <v>104</v>
      </c>
      <c r="E89" s="4">
        <v>3.659</v>
      </c>
      <c r="F89" s="3">
        <v>21509.0</v>
      </c>
      <c r="G89" s="5">
        <v>6.022</v>
      </c>
      <c r="H89" s="4">
        <v>22.03</v>
      </c>
      <c r="I89" s="10">
        <f t="shared" si="10"/>
        <v>216</v>
      </c>
      <c r="J89" s="11">
        <f t="shared" si="9"/>
        <v>35.86848223</v>
      </c>
      <c r="K89" s="13">
        <f t="shared" si="3"/>
        <v>2002.35</v>
      </c>
      <c r="L89" s="11">
        <f t="shared" si="4"/>
        <v>575.335</v>
      </c>
      <c r="M89" s="11">
        <f t="shared" si="5"/>
        <v>37.95918007</v>
      </c>
      <c r="N89" s="12">
        <f t="shared" si="6"/>
        <v>0.09309358873</v>
      </c>
      <c r="P89" s="11">
        <f t="shared" si="7"/>
        <v>36.29673516</v>
      </c>
    </row>
    <row r="90">
      <c r="A90" s="9">
        <v>40936.0</v>
      </c>
      <c r="B90" s="3" t="s">
        <v>173</v>
      </c>
      <c r="C90" s="3" t="s">
        <v>27</v>
      </c>
      <c r="D90" s="3" t="s">
        <v>138</v>
      </c>
      <c r="E90" s="4">
        <v>3.399</v>
      </c>
      <c r="F90" s="3">
        <v>21770.0</v>
      </c>
      <c r="G90" s="5">
        <v>7.468</v>
      </c>
      <c r="H90" s="4">
        <v>25.38</v>
      </c>
      <c r="I90" s="10">
        <f t="shared" si="10"/>
        <v>261</v>
      </c>
      <c r="J90" s="11">
        <f t="shared" si="9"/>
        <v>34.94911623</v>
      </c>
      <c r="K90" s="13">
        <f t="shared" si="3"/>
        <v>2027.73</v>
      </c>
      <c r="L90" s="11">
        <f t="shared" si="4"/>
        <v>582.803</v>
      </c>
      <c r="M90" s="11">
        <f t="shared" si="5"/>
        <v>37.9200248</v>
      </c>
      <c r="N90" s="12">
        <f t="shared" si="6"/>
        <v>0.09314331649</v>
      </c>
      <c r="P90" s="11">
        <f t="shared" si="7"/>
        <v>36.52031186</v>
      </c>
    </row>
    <row r="91">
      <c r="A91" s="9">
        <v>40936.0</v>
      </c>
      <c r="B91" s="3" t="s">
        <v>174</v>
      </c>
      <c r="C91" s="3" t="s">
        <v>97</v>
      </c>
      <c r="D91" s="3" t="s">
        <v>104</v>
      </c>
      <c r="E91" s="4">
        <v>3.439</v>
      </c>
      <c r="F91" s="3">
        <v>22027.0</v>
      </c>
      <c r="G91" s="5">
        <v>6.939</v>
      </c>
      <c r="H91" s="4">
        <v>23.86</v>
      </c>
      <c r="I91" s="10">
        <f t="shared" si="10"/>
        <v>257</v>
      </c>
      <c r="J91" s="11">
        <f t="shared" si="9"/>
        <v>37.03703704</v>
      </c>
      <c r="K91" s="13">
        <f t="shared" si="3"/>
        <v>2051.59</v>
      </c>
      <c r="L91" s="11">
        <f t="shared" si="4"/>
        <v>589.742</v>
      </c>
      <c r="M91" s="11">
        <f t="shared" si="5"/>
        <v>37.90947987</v>
      </c>
      <c r="N91" s="12">
        <f t="shared" si="6"/>
        <v>0.09313978299</v>
      </c>
      <c r="P91" s="11">
        <f t="shared" si="7"/>
        <v>36.38508035</v>
      </c>
    </row>
    <row r="92">
      <c r="A92" s="9">
        <v>40937.0</v>
      </c>
      <c r="B92" s="3" t="s">
        <v>175</v>
      </c>
      <c r="C92" s="3" t="s">
        <v>33</v>
      </c>
      <c r="D92" s="3" t="s">
        <v>134</v>
      </c>
      <c r="E92" s="4">
        <v>3.359</v>
      </c>
      <c r="F92" s="3">
        <v>22187.0</v>
      </c>
      <c r="G92" s="5">
        <v>3.638</v>
      </c>
      <c r="H92" s="4">
        <v>12.22</v>
      </c>
      <c r="I92" s="10">
        <f t="shared" si="10"/>
        <v>160</v>
      </c>
      <c r="J92" s="11">
        <f t="shared" si="9"/>
        <v>43.98020891</v>
      </c>
      <c r="K92" s="13">
        <f t="shared" si="3"/>
        <v>2063.81</v>
      </c>
      <c r="L92" s="11">
        <f t="shared" si="4"/>
        <v>593.38</v>
      </c>
      <c r="M92" s="11">
        <f t="shared" si="5"/>
        <v>37.9472532</v>
      </c>
      <c r="N92" s="12">
        <f t="shared" si="6"/>
        <v>0.09301888493</v>
      </c>
      <c r="P92" s="11">
        <f t="shared" si="7"/>
        <v>37.25907497</v>
      </c>
    </row>
    <row r="93">
      <c r="A93" s="9">
        <v>40938.0</v>
      </c>
      <c r="B93" s="3" t="s">
        <v>176</v>
      </c>
      <c r="C93" s="3" t="s">
        <v>33</v>
      </c>
      <c r="D93" s="3" t="s">
        <v>177</v>
      </c>
      <c r="E93" s="4">
        <v>3.599</v>
      </c>
      <c r="F93" s="3">
        <v>22450.0</v>
      </c>
      <c r="G93" s="5">
        <v>6.84</v>
      </c>
      <c r="H93" s="4">
        <v>24.62</v>
      </c>
      <c r="I93" s="10">
        <f t="shared" si="10"/>
        <v>263</v>
      </c>
      <c r="J93" s="11">
        <f t="shared" si="9"/>
        <v>38.4502924</v>
      </c>
      <c r="K93" s="13">
        <f t="shared" si="3"/>
        <v>2088.43</v>
      </c>
      <c r="L93" s="11">
        <f t="shared" si="4"/>
        <v>600.22</v>
      </c>
      <c r="M93" s="11">
        <f t="shared" si="5"/>
        <v>37.95307006</v>
      </c>
      <c r="N93" s="12">
        <f t="shared" si="6"/>
        <v>0.09302583519</v>
      </c>
      <c r="P93" s="11">
        <f t="shared" si="7"/>
        <v>37.43236011</v>
      </c>
    </row>
    <row r="94">
      <c r="A94" s="9">
        <v>40944.0</v>
      </c>
      <c r="B94" s="3" t="s">
        <v>178</v>
      </c>
      <c r="C94" s="3" t="s">
        <v>33</v>
      </c>
      <c r="D94" s="3" t="s">
        <v>102</v>
      </c>
      <c r="E94" s="4">
        <v>3.799</v>
      </c>
      <c r="F94" s="3">
        <v>22711.0</v>
      </c>
      <c r="G94" s="5">
        <v>6.584</v>
      </c>
      <c r="H94" s="4">
        <v>25.01</v>
      </c>
      <c r="I94" s="10">
        <f t="shared" si="10"/>
        <v>261</v>
      </c>
      <c r="J94" s="11">
        <f t="shared" si="9"/>
        <v>39.64155529</v>
      </c>
      <c r="K94" s="13">
        <f t="shared" si="3"/>
        <v>2113.44</v>
      </c>
      <c r="L94" s="11">
        <f t="shared" si="4"/>
        <v>606.804</v>
      </c>
      <c r="M94" s="11">
        <f t="shared" si="5"/>
        <v>37.9716571</v>
      </c>
      <c r="N94" s="12">
        <f t="shared" si="6"/>
        <v>0.09305798952</v>
      </c>
      <c r="P94" s="11">
        <f t="shared" si="7"/>
        <v>37.82241071</v>
      </c>
    </row>
    <row r="95">
      <c r="A95" s="9">
        <v>40945.0</v>
      </c>
      <c r="B95" s="3" t="s">
        <v>95</v>
      </c>
      <c r="C95" s="3" t="s">
        <v>33</v>
      </c>
      <c r="D95" s="3" t="s">
        <v>31</v>
      </c>
      <c r="E95" s="4">
        <v>3.779</v>
      </c>
      <c r="F95" s="3">
        <v>23186.0</v>
      </c>
      <c r="G95" s="5">
        <v>6.237</v>
      </c>
      <c r="H95" s="4">
        <v>23.57</v>
      </c>
      <c r="I95" s="10">
        <f t="shared" si="10"/>
        <v>475</v>
      </c>
      <c r="J95" s="11">
        <f t="shared" si="9"/>
        <v>76.15840949</v>
      </c>
      <c r="K95" s="13">
        <f t="shared" si="3"/>
        <v>2137.01</v>
      </c>
      <c r="L95" s="11">
        <f t="shared" si="4"/>
        <v>613.041</v>
      </c>
      <c r="M95" s="11">
        <f t="shared" si="5"/>
        <v>38.36575708</v>
      </c>
      <c r="N95" s="12">
        <f t="shared" si="6"/>
        <v>0.09216811869</v>
      </c>
      <c r="P95" s="11">
        <f t="shared" si="7"/>
        <v>44.47568026</v>
      </c>
    </row>
    <row r="96">
      <c r="A96" s="9">
        <v>40947.0</v>
      </c>
      <c r="B96" s="3" t="s">
        <v>174</v>
      </c>
      <c r="C96" s="3" t="s">
        <v>97</v>
      </c>
      <c r="D96" s="3" t="s">
        <v>104</v>
      </c>
      <c r="E96" s="4">
        <v>3.539</v>
      </c>
      <c r="F96" s="3">
        <v>23443.0</v>
      </c>
      <c r="G96" s="5">
        <v>7.075</v>
      </c>
      <c r="H96" s="4">
        <v>25.04</v>
      </c>
      <c r="I96" s="10">
        <f t="shared" si="10"/>
        <v>257</v>
      </c>
      <c r="J96" s="11">
        <f t="shared" si="9"/>
        <v>36.32508834</v>
      </c>
      <c r="K96" s="13">
        <f t="shared" si="3"/>
        <v>2162.05</v>
      </c>
      <c r="L96" s="11">
        <f t="shared" si="4"/>
        <v>620.116</v>
      </c>
      <c r="M96" s="11">
        <f t="shared" si="5"/>
        <v>38.34214348</v>
      </c>
      <c r="N96" s="12">
        <f t="shared" si="6"/>
        <v>0.09222582434</v>
      </c>
      <c r="P96" s="11">
        <f t="shared" si="7"/>
        <v>44.83692011</v>
      </c>
    </row>
    <row r="97">
      <c r="A97" s="9">
        <v>40948.0</v>
      </c>
      <c r="B97" s="3" t="s">
        <v>173</v>
      </c>
      <c r="C97" s="3" t="s">
        <v>27</v>
      </c>
      <c r="D97" s="3" t="s">
        <v>99</v>
      </c>
      <c r="E97" s="4">
        <v>3.479</v>
      </c>
      <c r="F97" s="3">
        <v>23727.0</v>
      </c>
      <c r="G97" s="5">
        <v>6.505</v>
      </c>
      <c r="H97" s="4">
        <v>22.63</v>
      </c>
      <c r="I97" s="10">
        <f t="shared" si="10"/>
        <v>284</v>
      </c>
      <c r="J97" s="11">
        <f t="shared" si="9"/>
        <v>43.65872406</v>
      </c>
      <c r="K97" s="13">
        <f t="shared" si="3"/>
        <v>2184.68</v>
      </c>
      <c r="L97" s="11">
        <f t="shared" si="4"/>
        <v>626.621</v>
      </c>
      <c r="M97" s="11">
        <f t="shared" si="5"/>
        <v>38.39811238</v>
      </c>
      <c r="N97" s="12">
        <f t="shared" si="6"/>
        <v>0.09207569436</v>
      </c>
      <c r="P97" s="11">
        <f t="shared" si="7"/>
        <v>46.0966946</v>
      </c>
    </row>
    <row r="98">
      <c r="A98" s="9">
        <v>40948.0</v>
      </c>
      <c r="B98" s="3" t="s">
        <v>172</v>
      </c>
      <c r="C98" s="3" t="s">
        <v>27</v>
      </c>
      <c r="D98" s="3" t="s">
        <v>134</v>
      </c>
      <c r="E98" s="4">
        <v>3.759</v>
      </c>
      <c r="F98" s="3">
        <v>23956.0</v>
      </c>
      <c r="G98" s="5">
        <v>5.861</v>
      </c>
      <c r="H98" s="4">
        <v>22.03</v>
      </c>
      <c r="I98" s="10">
        <f t="shared" si="10"/>
        <v>229</v>
      </c>
      <c r="J98" s="11">
        <f t="shared" si="9"/>
        <v>39.07183075</v>
      </c>
      <c r="K98" s="13">
        <f t="shared" si="3"/>
        <v>2206.71</v>
      </c>
      <c r="L98" s="11">
        <f t="shared" si="4"/>
        <v>632.482</v>
      </c>
      <c r="M98" s="11">
        <f t="shared" si="5"/>
        <v>38.40444258</v>
      </c>
      <c r="N98" s="12">
        <f t="shared" si="6"/>
        <v>0.09211512773</v>
      </c>
      <c r="P98" s="11">
        <f t="shared" si="7"/>
        <v>45.24065265</v>
      </c>
    </row>
    <row r="99">
      <c r="A99" s="9">
        <v>41031.0</v>
      </c>
      <c r="B99" s="3" t="s">
        <v>171</v>
      </c>
      <c r="C99" s="3" t="s">
        <v>17</v>
      </c>
      <c r="D99" s="3" t="s">
        <v>21</v>
      </c>
      <c r="E99" s="4">
        <v>4.399</v>
      </c>
      <c r="F99" s="3">
        <v>24196.0</v>
      </c>
      <c r="G99" s="5">
        <v>7.438</v>
      </c>
      <c r="H99" s="4">
        <v>32.72</v>
      </c>
      <c r="I99" s="10">
        <f t="shared" si="10"/>
        <v>240</v>
      </c>
      <c r="J99" s="11">
        <f t="shared" si="9"/>
        <v>32.26673837</v>
      </c>
      <c r="K99" s="13">
        <f t="shared" si="3"/>
        <v>2239.43</v>
      </c>
      <c r="L99" s="11">
        <f t="shared" si="4"/>
        <v>639.92</v>
      </c>
      <c r="M99" s="11">
        <f t="shared" si="5"/>
        <v>38.33211875</v>
      </c>
      <c r="N99" s="12">
        <f t="shared" si="6"/>
        <v>0.09255372789</v>
      </c>
      <c r="P99" s="11">
        <f t="shared" si="7"/>
        <v>43.97984887</v>
      </c>
    </row>
    <row r="100">
      <c r="A100" s="9">
        <v>41032.0</v>
      </c>
      <c r="B100" s="3" t="s">
        <v>179</v>
      </c>
      <c r="C100" s="3" t="s">
        <v>17</v>
      </c>
      <c r="D100" s="3" t="s">
        <v>65</v>
      </c>
      <c r="E100" s="4">
        <v>4.699</v>
      </c>
      <c r="F100" s="3">
        <v>24445.0</v>
      </c>
      <c r="G100" s="5">
        <v>4.635</v>
      </c>
      <c r="H100" s="4">
        <v>21.78</v>
      </c>
      <c r="I100" s="10">
        <f t="shared" si="10"/>
        <v>249</v>
      </c>
      <c r="J100" s="11">
        <f t="shared" si="9"/>
        <v>53.72168285</v>
      </c>
      <c r="K100" s="13">
        <f t="shared" si="3"/>
        <v>2261.21</v>
      </c>
      <c r="L100" s="11">
        <f t="shared" si="4"/>
        <v>644.555</v>
      </c>
      <c r="M100" s="11">
        <f t="shared" si="5"/>
        <v>38.44429941</v>
      </c>
      <c r="N100" s="12">
        <f t="shared" si="6"/>
        <v>0.09250194314</v>
      </c>
      <c r="P100" s="11">
        <f t="shared" si="7"/>
        <v>45.93255808</v>
      </c>
    </row>
    <row r="101">
      <c r="A101" s="9">
        <v>41032.0</v>
      </c>
      <c r="B101" s="3" t="s">
        <v>180</v>
      </c>
      <c r="C101" s="3" t="s">
        <v>27</v>
      </c>
      <c r="D101" s="3" t="s">
        <v>21</v>
      </c>
      <c r="E101" s="4">
        <v>4.219</v>
      </c>
      <c r="F101" s="3">
        <v>24606.0</v>
      </c>
      <c r="G101" s="5">
        <v>6.674</v>
      </c>
      <c r="H101" s="4">
        <v>28.16</v>
      </c>
      <c r="I101" s="10">
        <f t="shared" si="10"/>
        <v>161</v>
      </c>
      <c r="J101" s="11">
        <f t="shared" si="9"/>
        <v>24.12346419</v>
      </c>
      <c r="K101" s="13">
        <f t="shared" si="3"/>
        <v>2289.37</v>
      </c>
      <c r="L101" s="11">
        <f t="shared" si="4"/>
        <v>651.229</v>
      </c>
      <c r="M101" s="11">
        <f t="shared" si="5"/>
        <v>38.29554775</v>
      </c>
      <c r="N101" s="12">
        <f t="shared" si="6"/>
        <v>0.09304112818</v>
      </c>
      <c r="P101" s="11">
        <f t="shared" si="7"/>
        <v>37.18445585</v>
      </c>
    </row>
    <row r="102">
      <c r="A102" s="9">
        <v>41034.0</v>
      </c>
      <c r="B102" s="3" t="s">
        <v>181</v>
      </c>
      <c r="C102" s="3" t="s">
        <v>27</v>
      </c>
      <c r="D102" s="3" t="s">
        <v>104</v>
      </c>
      <c r="E102" s="4">
        <v>4.139</v>
      </c>
      <c r="F102" s="3">
        <v>24748.0</v>
      </c>
      <c r="G102" s="5">
        <v>3.886</v>
      </c>
      <c r="H102" s="4">
        <v>16.08</v>
      </c>
      <c r="I102" s="10">
        <f t="shared" si="10"/>
        <v>142</v>
      </c>
      <c r="J102" s="11">
        <f t="shared" si="9"/>
        <v>36.54143078</v>
      </c>
      <c r="K102" s="13">
        <f t="shared" si="3"/>
        <v>2305.45</v>
      </c>
      <c r="L102" s="11">
        <f t="shared" si="4"/>
        <v>655.115</v>
      </c>
      <c r="M102" s="11">
        <f t="shared" si="5"/>
        <v>38.28500267</v>
      </c>
      <c r="N102" s="12">
        <f t="shared" si="6"/>
        <v>0.09315702279</v>
      </c>
      <c r="P102" s="11">
        <f t="shared" si="7"/>
        <v>37.28677962</v>
      </c>
    </row>
    <row r="103">
      <c r="A103" s="9">
        <v>41036.0</v>
      </c>
      <c r="B103" s="3" t="s">
        <v>182</v>
      </c>
      <c r="C103" s="3" t="s">
        <v>27</v>
      </c>
      <c r="D103" s="3" t="s">
        <v>99</v>
      </c>
      <c r="E103" s="4">
        <v>4.169</v>
      </c>
      <c r="F103" s="3">
        <v>25000.0</v>
      </c>
      <c r="G103" s="5">
        <v>6.273</v>
      </c>
      <c r="H103" s="4">
        <v>26.15</v>
      </c>
      <c r="I103" s="10">
        <f t="shared" si="10"/>
        <v>252</v>
      </c>
      <c r="J103" s="11">
        <f t="shared" si="9"/>
        <v>40.17216643</v>
      </c>
      <c r="K103" s="13">
        <f t="shared" si="3"/>
        <v>2331.6</v>
      </c>
      <c r="L103" s="11">
        <f t="shared" si="4"/>
        <v>661.388</v>
      </c>
      <c r="M103" s="11">
        <f t="shared" si="5"/>
        <v>38.30314024</v>
      </c>
      <c r="N103" s="12">
        <f t="shared" si="6"/>
        <v>0.093264</v>
      </c>
      <c r="P103" s="11">
        <f t="shared" si="7"/>
        <v>36.61518106</v>
      </c>
    </row>
    <row r="104">
      <c r="A104" s="9">
        <v>41037.0</v>
      </c>
      <c r="B104" s="3" t="s">
        <v>183</v>
      </c>
      <c r="C104" s="3" t="s">
        <v>27</v>
      </c>
      <c r="D104" s="3" t="s">
        <v>21</v>
      </c>
      <c r="E104" s="4">
        <v>4.259</v>
      </c>
      <c r="F104" s="3">
        <v>25303.0</v>
      </c>
      <c r="G104" s="5">
        <v>6.838</v>
      </c>
      <c r="H104" s="4">
        <v>29.12</v>
      </c>
      <c r="I104" s="10">
        <f t="shared" si="10"/>
        <v>303</v>
      </c>
      <c r="J104" s="11">
        <f t="shared" si="9"/>
        <v>44.31120211</v>
      </c>
      <c r="K104" s="13">
        <f t="shared" si="3"/>
        <v>2360.72</v>
      </c>
      <c r="L104" s="11">
        <f t="shared" si="4"/>
        <v>668.226</v>
      </c>
      <c r="M104" s="11">
        <f t="shared" si="5"/>
        <v>38.36543214</v>
      </c>
      <c r="N104" s="12">
        <f t="shared" si="6"/>
        <v>0.0932980279</v>
      </c>
      <c r="P104" s="11">
        <f t="shared" si="7"/>
        <v>37.68464637</v>
      </c>
    </row>
    <row r="105">
      <c r="A105" s="9">
        <v>41038.0</v>
      </c>
      <c r="B105" s="3" t="s">
        <v>164</v>
      </c>
      <c r="C105" s="3" t="s">
        <v>17</v>
      </c>
      <c r="D105" s="3" t="s">
        <v>184</v>
      </c>
      <c r="E105" s="4">
        <v>4.399</v>
      </c>
      <c r="F105" s="3">
        <v>25515.0</v>
      </c>
      <c r="G105" s="5">
        <v>6.391</v>
      </c>
      <c r="H105" s="4">
        <v>28.11</v>
      </c>
      <c r="I105" s="10">
        <f t="shared" si="10"/>
        <v>212</v>
      </c>
      <c r="J105" s="11">
        <f t="shared" si="9"/>
        <v>33.17164763</v>
      </c>
      <c r="K105" s="13">
        <f t="shared" si="3"/>
        <v>2388.83</v>
      </c>
      <c r="L105" s="11">
        <f t="shared" si="4"/>
        <v>674.617</v>
      </c>
      <c r="M105" s="11">
        <f t="shared" si="5"/>
        <v>38.31558588</v>
      </c>
      <c r="N105" s="12">
        <f t="shared" si="6"/>
        <v>0.09362453459</v>
      </c>
      <c r="P105" s="11">
        <f t="shared" si="7"/>
        <v>38.01481396</v>
      </c>
    </row>
    <row r="106">
      <c r="A106" s="9">
        <v>41053.0</v>
      </c>
      <c r="B106" s="3" t="s">
        <v>165</v>
      </c>
      <c r="C106" s="3" t="s">
        <v>17</v>
      </c>
      <c r="D106" s="3" t="s">
        <v>104</v>
      </c>
      <c r="E106" s="4">
        <v>4.559</v>
      </c>
      <c r="F106" s="3">
        <v>25795.0</v>
      </c>
      <c r="G106" s="5">
        <v>6.678</v>
      </c>
      <c r="H106" s="4">
        <v>30.45</v>
      </c>
      <c r="I106" s="10">
        <f t="shared" si="10"/>
        <v>280</v>
      </c>
      <c r="J106" s="11">
        <f t="shared" si="9"/>
        <v>41.92872117</v>
      </c>
      <c r="K106" s="13">
        <f t="shared" si="3"/>
        <v>2419.28</v>
      </c>
      <c r="L106" s="11">
        <f t="shared" si="4"/>
        <v>681.295</v>
      </c>
      <c r="M106" s="11">
        <f t="shared" si="5"/>
        <v>38.35145965</v>
      </c>
      <c r="N106" s="12">
        <f t="shared" si="6"/>
        <v>0.09378871874</v>
      </c>
      <c r="P106" s="11">
        <f t="shared" si="7"/>
        <v>36.74469243</v>
      </c>
    </row>
    <row r="107">
      <c r="A107" s="9">
        <v>41053.0</v>
      </c>
      <c r="B107" s="3" t="s">
        <v>162</v>
      </c>
      <c r="C107" s="3" t="s">
        <v>163</v>
      </c>
      <c r="D107" s="3" t="s">
        <v>104</v>
      </c>
      <c r="E107" s="4">
        <v>4.129</v>
      </c>
      <c r="F107" s="3">
        <v>26089.0</v>
      </c>
      <c r="G107" s="5">
        <v>7.276</v>
      </c>
      <c r="H107" s="4">
        <v>30.04</v>
      </c>
      <c r="I107" s="10">
        <f t="shared" si="10"/>
        <v>294</v>
      </c>
      <c r="J107" s="11">
        <f t="shared" si="9"/>
        <v>40.40681693</v>
      </c>
      <c r="K107" s="13">
        <f t="shared" si="3"/>
        <v>2449.32</v>
      </c>
      <c r="L107" s="11">
        <f t="shared" si="4"/>
        <v>688.571</v>
      </c>
      <c r="M107" s="11">
        <f t="shared" si="5"/>
        <v>38.37345614</v>
      </c>
      <c r="N107" s="12">
        <f t="shared" si="6"/>
        <v>0.09388324581</v>
      </c>
      <c r="P107" s="11">
        <f t="shared" si="7"/>
        <v>39.71399497</v>
      </c>
    </row>
    <row r="108">
      <c r="A108" s="9">
        <v>41054.0</v>
      </c>
      <c r="B108" s="3" t="s">
        <v>161</v>
      </c>
      <c r="C108" s="3" t="s">
        <v>158</v>
      </c>
      <c r="D108" s="3" t="s">
        <v>134</v>
      </c>
      <c r="E108" s="4">
        <v>3.979</v>
      </c>
      <c r="F108" s="3">
        <v>26264.0</v>
      </c>
      <c r="G108" s="5">
        <v>4.535</v>
      </c>
      <c r="H108" s="4">
        <v>18.04</v>
      </c>
      <c r="I108" s="10">
        <f t="shared" si="10"/>
        <v>175</v>
      </c>
      <c r="J108" s="11">
        <f t="shared" si="9"/>
        <v>38.58875413</v>
      </c>
      <c r="K108" s="13">
        <f t="shared" si="3"/>
        <v>2467.36</v>
      </c>
      <c r="L108" s="11">
        <f t="shared" si="4"/>
        <v>693.106</v>
      </c>
      <c r="M108" s="11">
        <f t="shared" si="5"/>
        <v>38.37488275</v>
      </c>
      <c r="N108" s="12">
        <f t="shared" si="6"/>
        <v>0.0939445629</v>
      </c>
      <c r="P108" s="11">
        <f t="shared" si="7"/>
        <v>39.90418783</v>
      </c>
    </row>
    <row r="109">
      <c r="A109" s="9">
        <v>41055.0</v>
      </c>
      <c r="B109" s="3" t="s">
        <v>185</v>
      </c>
      <c r="C109" s="3" t="s">
        <v>186</v>
      </c>
      <c r="D109" s="3" t="s">
        <v>28</v>
      </c>
      <c r="E109" s="4">
        <v>3.799</v>
      </c>
      <c r="F109" s="3">
        <v>26586.0</v>
      </c>
      <c r="G109" s="5">
        <v>7.067</v>
      </c>
      <c r="H109" s="4">
        <v>26.85</v>
      </c>
      <c r="I109" s="10">
        <f t="shared" si="10"/>
        <v>322</v>
      </c>
      <c r="J109" s="11">
        <f t="shared" si="9"/>
        <v>45.5638885</v>
      </c>
      <c r="K109" s="13">
        <f t="shared" si="3"/>
        <v>2494.21</v>
      </c>
      <c r="L109" s="11">
        <f t="shared" si="4"/>
        <v>700.173</v>
      </c>
      <c r="M109" s="11">
        <f t="shared" si="5"/>
        <v>38.4483559</v>
      </c>
      <c r="N109" s="12">
        <f t="shared" si="6"/>
        <v>0.09381667043</v>
      </c>
      <c r="P109" s="11">
        <f t="shared" si="7"/>
        <v>40.89209746</v>
      </c>
    </row>
    <row r="110">
      <c r="A110" s="9">
        <v>41055.0</v>
      </c>
      <c r="B110" s="3" t="s">
        <v>187</v>
      </c>
      <c r="C110" s="3" t="s">
        <v>186</v>
      </c>
      <c r="D110" s="3" t="s">
        <v>84</v>
      </c>
      <c r="E110" s="4">
        <v>3.849</v>
      </c>
      <c r="F110" s="3">
        <v>26788.0</v>
      </c>
      <c r="G110" s="5">
        <v>5.189</v>
      </c>
      <c r="H110" s="4">
        <v>19.97</v>
      </c>
      <c r="I110" s="10">
        <f t="shared" si="10"/>
        <v>202</v>
      </c>
      <c r="J110" s="11">
        <f t="shared" si="9"/>
        <v>38.9285026</v>
      </c>
      <c r="K110" s="13">
        <f t="shared" si="3"/>
        <v>2514.18</v>
      </c>
      <c r="L110" s="11">
        <f t="shared" si="4"/>
        <v>705.362</v>
      </c>
      <c r="M110" s="11">
        <f t="shared" si="5"/>
        <v>38.45193221</v>
      </c>
      <c r="N110" s="12">
        <f t="shared" si="6"/>
        <v>0.09385471106</v>
      </c>
      <c r="P110" s="11">
        <f t="shared" si="7"/>
        <v>39.98815166</v>
      </c>
    </row>
    <row r="111">
      <c r="A111" s="9">
        <v>41056.0</v>
      </c>
      <c r="B111" s="3" t="s">
        <v>188</v>
      </c>
      <c r="C111" s="3" t="s">
        <v>186</v>
      </c>
      <c r="D111" s="3" t="s">
        <v>189</v>
      </c>
      <c r="E111" s="4">
        <v>3.999</v>
      </c>
      <c r="F111" s="3">
        <v>26973.0</v>
      </c>
      <c r="G111" s="5">
        <v>4.017</v>
      </c>
      <c r="H111" s="4">
        <v>16.86</v>
      </c>
      <c r="I111" s="10">
        <f t="shared" si="10"/>
        <v>185</v>
      </c>
      <c r="J111" s="11">
        <f t="shared" si="9"/>
        <v>46.05426936</v>
      </c>
      <c r="K111" s="13">
        <f t="shared" si="3"/>
        <v>2531.04</v>
      </c>
      <c r="L111" s="11">
        <f t="shared" si="4"/>
        <v>709.379</v>
      </c>
      <c r="M111" s="11">
        <f t="shared" si="5"/>
        <v>38.49551649</v>
      </c>
      <c r="N111" s="12">
        <f t="shared" si="6"/>
        <v>0.09383605828</v>
      </c>
      <c r="P111" s="11">
        <f t="shared" si="7"/>
        <v>41.94235084</v>
      </c>
    </row>
    <row r="112">
      <c r="A112" s="9">
        <v>41056.0</v>
      </c>
      <c r="B112" s="3" t="s">
        <v>190</v>
      </c>
      <c r="C112" s="3" t="s">
        <v>191</v>
      </c>
      <c r="D112" s="3" t="s">
        <v>192</v>
      </c>
      <c r="E112" s="4">
        <v>4.049</v>
      </c>
      <c r="F112" s="3">
        <v>27228.0</v>
      </c>
      <c r="G112" s="5">
        <v>6.155</v>
      </c>
      <c r="H112" s="4">
        <v>24.92</v>
      </c>
      <c r="I112" s="10">
        <f t="shared" si="10"/>
        <v>255</v>
      </c>
      <c r="J112" s="11">
        <f t="shared" si="9"/>
        <v>41.42973193</v>
      </c>
      <c r="K112" s="13">
        <f t="shared" si="3"/>
        <v>2555.96</v>
      </c>
      <c r="L112" s="11">
        <f t="shared" si="4"/>
        <v>715.534</v>
      </c>
      <c r="M112" s="11">
        <f t="shared" si="5"/>
        <v>38.52106718</v>
      </c>
      <c r="N112" s="12">
        <f t="shared" si="6"/>
        <v>0.09387248421</v>
      </c>
      <c r="P112" s="11">
        <f t="shared" si="7"/>
        <v>41.85285785</v>
      </c>
    </row>
    <row r="113">
      <c r="A113" s="9">
        <v>41057.0</v>
      </c>
      <c r="B113" s="3" t="s">
        <v>193</v>
      </c>
      <c r="C113" s="3" t="s">
        <v>191</v>
      </c>
      <c r="D113" s="3" t="s">
        <v>194</v>
      </c>
      <c r="E113" s="4">
        <v>3.659</v>
      </c>
      <c r="F113" s="3">
        <v>27565.0</v>
      </c>
      <c r="G113" s="5">
        <v>6.657</v>
      </c>
      <c r="H113" s="4">
        <v>24.36</v>
      </c>
      <c r="I113" s="10">
        <f t="shared" si="10"/>
        <v>337</v>
      </c>
      <c r="J113" s="11">
        <f t="shared" si="9"/>
        <v>50.62340394</v>
      </c>
      <c r="K113" s="13">
        <f t="shared" si="3"/>
        <v>2580.32</v>
      </c>
      <c r="L113" s="11">
        <f t="shared" si="4"/>
        <v>722.191</v>
      </c>
      <c r="M113" s="11">
        <f t="shared" si="5"/>
        <v>38.63398417</v>
      </c>
      <c r="N113" s="12">
        <f t="shared" si="6"/>
        <v>0.09360856158</v>
      </c>
      <c r="P113" s="11">
        <f t="shared" si="7"/>
        <v>43.90243902</v>
      </c>
    </row>
    <row r="114">
      <c r="A114" s="9">
        <v>41058.0</v>
      </c>
      <c r="B114" s="3" t="s">
        <v>195</v>
      </c>
      <c r="C114" s="3" t="s">
        <v>196</v>
      </c>
      <c r="D114" s="3" t="s">
        <v>197</v>
      </c>
      <c r="E114" s="4">
        <v>3.599</v>
      </c>
      <c r="F114" s="3">
        <v>27815.0</v>
      </c>
      <c r="G114" s="5">
        <v>6.772</v>
      </c>
      <c r="H114" s="4">
        <v>24.37</v>
      </c>
      <c r="I114" s="10">
        <f t="shared" si="10"/>
        <v>250</v>
      </c>
      <c r="J114" s="11">
        <f t="shared" si="9"/>
        <v>36.91671589</v>
      </c>
      <c r="K114" s="13">
        <f t="shared" si="3"/>
        <v>2604.69</v>
      </c>
      <c r="L114" s="11">
        <f t="shared" si="4"/>
        <v>728.963</v>
      </c>
      <c r="M114" s="11">
        <f t="shared" si="5"/>
        <v>38.61783821</v>
      </c>
      <c r="N114" s="12">
        <f t="shared" si="6"/>
        <v>0.0936433579</v>
      </c>
      <c r="P114" s="11">
        <f t="shared" si="7"/>
        <v>43.25515241</v>
      </c>
    </row>
    <row r="115">
      <c r="A115" s="9">
        <v>41059.0</v>
      </c>
      <c r="B115" s="3" t="s">
        <v>198</v>
      </c>
      <c r="C115" s="3" t="s">
        <v>49</v>
      </c>
      <c r="D115" s="3" t="s">
        <v>21</v>
      </c>
      <c r="E115" s="4">
        <v>3.699</v>
      </c>
      <c r="F115" s="3">
        <v>28086.0</v>
      </c>
      <c r="G115" s="5">
        <v>6.163</v>
      </c>
      <c r="H115" s="4">
        <v>22.8</v>
      </c>
      <c r="I115" s="10">
        <f t="shared" si="10"/>
        <v>271</v>
      </c>
      <c r="J115" s="11">
        <f t="shared" si="9"/>
        <v>43.97209151</v>
      </c>
      <c r="K115" s="13">
        <f t="shared" si="3"/>
        <v>2627.49</v>
      </c>
      <c r="L115" s="11">
        <f t="shared" si="4"/>
        <v>735.126</v>
      </c>
      <c r="M115" s="11">
        <f t="shared" si="5"/>
        <v>38.6632637</v>
      </c>
      <c r="N115" s="12">
        <f t="shared" si="6"/>
        <v>0.09355159154</v>
      </c>
      <c r="P115" s="11">
        <f t="shared" si="7"/>
        <v>42.91477126</v>
      </c>
    </row>
    <row r="116">
      <c r="A116" s="9">
        <v>41060.0</v>
      </c>
      <c r="B116" s="3" t="s">
        <v>199</v>
      </c>
      <c r="C116" s="3" t="s">
        <v>75</v>
      </c>
      <c r="D116" s="3" t="s">
        <v>65</v>
      </c>
      <c r="E116" s="4">
        <v>3.749</v>
      </c>
      <c r="F116" s="3">
        <v>28400.0</v>
      </c>
      <c r="G116" s="5">
        <v>7.895</v>
      </c>
      <c r="H116" s="4">
        <v>29.68</v>
      </c>
      <c r="I116" s="10">
        <f t="shared" si="10"/>
        <v>314</v>
      </c>
      <c r="J116" s="11">
        <f t="shared" si="9"/>
        <v>39.7720076</v>
      </c>
      <c r="K116" s="13">
        <f t="shared" si="3"/>
        <v>2657.17</v>
      </c>
      <c r="L116" s="11">
        <f t="shared" si="4"/>
        <v>743.021</v>
      </c>
      <c r="M116" s="11">
        <f t="shared" si="5"/>
        <v>38.67518429</v>
      </c>
      <c r="N116" s="12">
        <f t="shared" si="6"/>
        <v>0.09356232394</v>
      </c>
      <c r="P116" s="11">
        <f t="shared" si="7"/>
        <v>42.80517273</v>
      </c>
    </row>
    <row r="117">
      <c r="A117" s="9" t="s">
        <v>200</v>
      </c>
      <c r="B117" s="3" t="s">
        <v>201</v>
      </c>
      <c r="C117" s="3" t="s">
        <v>70</v>
      </c>
      <c r="D117" s="3" t="s">
        <v>144</v>
      </c>
      <c r="E117" s="4">
        <v>3.859</v>
      </c>
      <c r="F117" s="3">
        <v>28688.0</v>
      </c>
      <c r="G117" s="5">
        <v>6.872</v>
      </c>
      <c r="H117" s="4">
        <v>26.52</v>
      </c>
      <c r="I117" s="10">
        <f t="shared" si="10"/>
        <v>288</v>
      </c>
      <c r="J117" s="11">
        <f t="shared" si="9"/>
        <v>41.90919674</v>
      </c>
      <c r="K117" s="13">
        <f t="shared" si="3"/>
        <v>2683.69</v>
      </c>
      <c r="L117" s="11">
        <f t="shared" si="4"/>
        <v>749.893</v>
      </c>
      <c r="M117" s="11">
        <f t="shared" si="5"/>
        <v>38.70516856</v>
      </c>
      <c r="N117" s="12">
        <f t="shared" si="6"/>
        <v>0.0935474763</v>
      </c>
      <c r="P117" s="11">
        <f t="shared" si="7"/>
        <v>42.33104606</v>
      </c>
    </row>
    <row r="118">
      <c r="A118" s="9">
        <v>41061.0</v>
      </c>
      <c r="B118" s="3" t="s">
        <v>202</v>
      </c>
      <c r="C118" s="3" t="s">
        <v>54</v>
      </c>
      <c r="D118" s="3" t="s">
        <v>55</v>
      </c>
      <c r="E118" s="4">
        <v>3.899</v>
      </c>
      <c r="F118" s="3">
        <v>28900.0</v>
      </c>
      <c r="G118" s="5">
        <v>4.972</v>
      </c>
      <c r="H118" s="4">
        <v>19.39</v>
      </c>
      <c r="I118" s="10">
        <f t="shared" si="10"/>
        <v>212</v>
      </c>
      <c r="J118" s="11">
        <f t="shared" si="9"/>
        <v>42.63877715</v>
      </c>
      <c r="K118" s="13">
        <f t="shared" si="3"/>
        <v>2703.08</v>
      </c>
      <c r="L118" s="11">
        <f t="shared" si="4"/>
        <v>754.865</v>
      </c>
      <c r="M118" s="11">
        <f t="shared" si="5"/>
        <v>38.73137979</v>
      </c>
      <c r="N118" s="12">
        <f t="shared" si="6"/>
        <v>0.09353217993</v>
      </c>
      <c r="P118" s="11">
        <f t="shared" si="7"/>
        <v>42.51099642</v>
      </c>
    </row>
    <row r="119">
      <c r="A119" s="9">
        <v>41068.0</v>
      </c>
      <c r="B119" s="3" t="s">
        <v>202</v>
      </c>
      <c r="C119" s="3" t="s">
        <v>54</v>
      </c>
      <c r="D119" s="3" t="s">
        <v>55</v>
      </c>
      <c r="E119" s="4">
        <v>3.899</v>
      </c>
      <c r="F119" s="3">
        <v>29109.0</v>
      </c>
      <c r="G119" s="5">
        <v>5.96</v>
      </c>
      <c r="H119" s="4">
        <v>23.24</v>
      </c>
      <c r="I119" s="10">
        <f t="shared" si="10"/>
        <v>209</v>
      </c>
      <c r="J119" s="11">
        <f t="shared" si="9"/>
        <v>35.06711409</v>
      </c>
      <c r="K119" s="13">
        <f t="shared" si="3"/>
        <v>2726.32</v>
      </c>
      <c r="L119" s="11">
        <f t="shared" si="4"/>
        <v>760.825</v>
      </c>
      <c r="M119" s="11">
        <f t="shared" si="5"/>
        <v>38.70234336</v>
      </c>
      <c r="N119" s="12">
        <f t="shared" si="6"/>
        <v>0.09365900581</v>
      </c>
      <c r="P119" s="11">
        <f t="shared" si="7"/>
        <v>39.96479785</v>
      </c>
    </row>
    <row r="120">
      <c r="A120" s="9">
        <v>41069.0</v>
      </c>
      <c r="B120" s="3" t="s">
        <v>203</v>
      </c>
      <c r="C120" s="3" t="s">
        <v>70</v>
      </c>
      <c r="D120" s="3" t="s">
        <v>60</v>
      </c>
      <c r="E120" s="4">
        <v>3.819</v>
      </c>
      <c r="F120" s="3">
        <v>29384.0</v>
      </c>
      <c r="G120" s="5">
        <v>6.667</v>
      </c>
      <c r="H120" s="4">
        <v>25.46</v>
      </c>
      <c r="I120" s="10">
        <f t="shared" si="10"/>
        <v>275</v>
      </c>
      <c r="J120" s="11">
        <f t="shared" si="9"/>
        <v>41.2479376</v>
      </c>
      <c r="K120" s="13">
        <f t="shared" si="3"/>
        <v>2751.78</v>
      </c>
      <c r="L120" s="11">
        <f t="shared" si="4"/>
        <v>767.492</v>
      </c>
      <c r="M120" s="11">
        <f t="shared" si="5"/>
        <v>38.7247098</v>
      </c>
      <c r="N120" s="12">
        <f t="shared" si="6"/>
        <v>0.09364892458</v>
      </c>
      <c r="P120" s="11">
        <f t="shared" si="7"/>
        <v>40.72257261</v>
      </c>
    </row>
    <row r="121">
      <c r="A121" s="9">
        <v>41069.0</v>
      </c>
      <c r="B121" s="3" t="s">
        <v>204</v>
      </c>
      <c r="C121" s="3" t="s">
        <v>205</v>
      </c>
      <c r="D121" s="3" t="s">
        <v>21</v>
      </c>
      <c r="E121" s="4">
        <v>3.919</v>
      </c>
      <c r="F121" s="3">
        <v>29576.0</v>
      </c>
      <c r="G121" s="5">
        <v>4.726</v>
      </c>
      <c r="H121" s="4">
        <v>18.52</v>
      </c>
      <c r="I121" s="10">
        <f t="shared" si="10"/>
        <v>192</v>
      </c>
      <c r="J121" s="11">
        <f t="shared" si="9"/>
        <v>40.62632247</v>
      </c>
      <c r="K121" s="13">
        <f t="shared" si="3"/>
        <v>2770.3</v>
      </c>
      <c r="L121" s="11">
        <f t="shared" si="4"/>
        <v>772.218</v>
      </c>
      <c r="M121" s="11">
        <f t="shared" si="5"/>
        <v>38.73648034</v>
      </c>
      <c r="N121" s="12">
        <f t="shared" si="6"/>
        <v>0.09366716256</v>
      </c>
      <c r="P121" s="11">
        <f t="shared" si="7"/>
        <v>40.17038715</v>
      </c>
    </row>
    <row r="122">
      <c r="A122" s="9">
        <v>41071.0</v>
      </c>
      <c r="B122" s="3" t="s">
        <v>206</v>
      </c>
      <c r="C122" s="3" t="s">
        <v>207</v>
      </c>
      <c r="D122" s="3" t="s">
        <v>208</v>
      </c>
      <c r="E122" s="4">
        <v>3.719</v>
      </c>
      <c r="F122" s="3">
        <v>29815.0</v>
      </c>
      <c r="G122" s="5">
        <v>6.552</v>
      </c>
      <c r="H122" s="4">
        <v>24.37</v>
      </c>
      <c r="I122" s="10">
        <f t="shared" si="10"/>
        <v>239</v>
      </c>
      <c r="J122" s="11">
        <f t="shared" si="9"/>
        <v>36.47741148</v>
      </c>
      <c r="K122" s="13">
        <f t="shared" si="3"/>
        <v>2794.67</v>
      </c>
      <c r="L122" s="11">
        <f t="shared" si="4"/>
        <v>778.77</v>
      </c>
      <c r="M122" s="11">
        <f t="shared" si="5"/>
        <v>38.71725947</v>
      </c>
      <c r="N122" s="12">
        <f t="shared" si="6"/>
        <v>0.0937336911</v>
      </c>
      <c r="P122" s="11">
        <f t="shared" si="7"/>
        <v>39.58152676</v>
      </c>
    </row>
    <row r="123">
      <c r="A123" s="9">
        <v>41071.0</v>
      </c>
      <c r="B123" s="3" t="s">
        <v>209</v>
      </c>
      <c r="C123" s="3" t="s">
        <v>207</v>
      </c>
      <c r="D123" s="3" t="s">
        <v>116</v>
      </c>
      <c r="E123" s="4">
        <v>3.699</v>
      </c>
      <c r="F123" s="3">
        <v>30054.0</v>
      </c>
      <c r="G123" s="5">
        <v>6.172</v>
      </c>
      <c r="H123" s="4">
        <v>22.83</v>
      </c>
      <c r="I123" s="10">
        <f t="shared" si="10"/>
        <v>239</v>
      </c>
      <c r="J123" s="11">
        <f t="shared" si="9"/>
        <v>38.72326636</v>
      </c>
      <c r="K123" s="13">
        <f t="shared" si="3"/>
        <v>2817.5</v>
      </c>
      <c r="L123" s="11">
        <f t="shared" si="4"/>
        <v>784.942</v>
      </c>
      <c r="M123" s="11">
        <f t="shared" si="5"/>
        <v>38.71730723</v>
      </c>
      <c r="N123" s="12">
        <f t="shared" si="6"/>
        <v>0.09374792041</v>
      </c>
      <c r="P123" s="11">
        <f t="shared" si="7"/>
        <v>38.97400782</v>
      </c>
    </row>
    <row r="124">
      <c r="A124" s="9">
        <v>41072.0</v>
      </c>
      <c r="B124" s="3" t="s">
        <v>210</v>
      </c>
      <c r="C124" s="3" t="s">
        <v>211</v>
      </c>
      <c r="D124" s="3" t="s">
        <v>212</v>
      </c>
      <c r="E124" s="4">
        <v>3.559</v>
      </c>
      <c r="F124" s="3">
        <v>30278.0</v>
      </c>
      <c r="G124" s="5">
        <v>6.287</v>
      </c>
      <c r="H124" s="4">
        <v>22.38</v>
      </c>
      <c r="I124" s="10">
        <f t="shared" si="10"/>
        <v>224</v>
      </c>
      <c r="J124" s="11">
        <f t="shared" si="9"/>
        <v>35.62907587</v>
      </c>
      <c r="K124" s="13">
        <f t="shared" si="3"/>
        <v>2839.88</v>
      </c>
      <c r="L124" s="11">
        <f t="shared" si="4"/>
        <v>791.229</v>
      </c>
      <c r="M124" s="11">
        <f t="shared" si="5"/>
        <v>38.69249574</v>
      </c>
      <c r="N124" s="12">
        <f t="shared" si="6"/>
        <v>0.09379351344</v>
      </c>
      <c r="P124" s="11">
        <f t="shared" si="7"/>
        <v>37.89462105</v>
      </c>
    </row>
    <row r="125">
      <c r="A125" s="9">
        <v>41072.0</v>
      </c>
      <c r="B125" s="3" t="s">
        <v>213</v>
      </c>
      <c r="C125" s="3" t="s">
        <v>214</v>
      </c>
      <c r="D125" s="3" t="s">
        <v>212</v>
      </c>
      <c r="E125" s="4">
        <v>3.849</v>
      </c>
      <c r="F125" s="3">
        <v>30512.0</v>
      </c>
      <c r="G125" s="5">
        <v>6.503</v>
      </c>
      <c r="H125" s="4">
        <v>25.03</v>
      </c>
      <c r="I125" s="10">
        <f t="shared" si="10"/>
        <v>234</v>
      </c>
      <c r="J125" s="11">
        <f t="shared" si="9"/>
        <v>35.98339228</v>
      </c>
      <c r="K125" s="13">
        <f t="shared" si="3"/>
        <v>2864.91</v>
      </c>
      <c r="L125" s="11">
        <f t="shared" si="4"/>
        <v>797.732</v>
      </c>
      <c r="M125" s="11">
        <f t="shared" si="5"/>
        <v>38.670168</v>
      </c>
      <c r="N125" s="12">
        <f t="shared" si="6"/>
        <v>0.0938945333</v>
      </c>
      <c r="P125" s="11">
        <f t="shared" si="7"/>
        <v>38.0144688</v>
      </c>
    </row>
    <row r="126">
      <c r="A126" s="9">
        <v>41073.0</v>
      </c>
      <c r="B126" s="3" t="s">
        <v>215</v>
      </c>
      <c r="C126" s="3" t="s">
        <v>214</v>
      </c>
      <c r="D126" s="3" t="s">
        <v>28</v>
      </c>
      <c r="E126" s="4">
        <v>4.059</v>
      </c>
      <c r="F126" s="3">
        <v>30669.0</v>
      </c>
      <c r="G126" s="5">
        <v>3.762</v>
      </c>
      <c r="H126" s="4">
        <v>15.27</v>
      </c>
      <c r="I126" s="10">
        <f t="shared" si="10"/>
        <v>157</v>
      </c>
      <c r="J126" s="11">
        <f t="shared" si="9"/>
        <v>41.73312068</v>
      </c>
      <c r="K126" s="13">
        <f t="shared" si="3"/>
        <v>2880.18</v>
      </c>
      <c r="L126" s="11">
        <f t="shared" si="4"/>
        <v>801.494</v>
      </c>
      <c r="M126" s="11">
        <f t="shared" si="5"/>
        <v>38.68470246</v>
      </c>
      <c r="N126" s="12">
        <f t="shared" si="6"/>
        <v>0.09391176758</v>
      </c>
      <c r="P126" s="11">
        <f t="shared" si="7"/>
        <v>37.79189459</v>
      </c>
    </row>
    <row r="127">
      <c r="A127" s="9">
        <v>41074.0</v>
      </c>
      <c r="B127" s="3" t="s">
        <v>216</v>
      </c>
      <c r="C127" s="3" t="s">
        <v>217</v>
      </c>
      <c r="D127" s="3" t="s">
        <v>84</v>
      </c>
      <c r="E127" s="4">
        <v>3.899</v>
      </c>
      <c r="F127" s="3">
        <v>30927.0</v>
      </c>
      <c r="G127" s="5">
        <v>7.204</v>
      </c>
      <c r="H127" s="4">
        <v>28.09</v>
      </c>
      <c r="I127" s="10">
        <f t="shared" si="10"/>
        <v>258</v>
      </c>
      <c r="J127" s="11">
        <f t="shared" si="9"/>
        <v>35.81343698</v>
      </c>
      <c r="K127" s="13">
        <f t="shared" si="3"/>
        <v>2908.27</v>
      </c>
      <c r="L127" s="11">
        <f t="shared" si="4"/>
        <v>808.698</v>
      </c>
      <c r="M127" s="11">
        <f t="shared" si="5"/>
        <v>38.65884665</v>
      </c>
      <c r="N127" s="12">
        <f t="shared" si="6"/>
        <v>0.09403660232</v>
      </c>
      <c r="P127" s="11">
        <f t="shared" si="7"/>
        <v>37.03399123</v>
      </c>
    </row>
    <row r="128">
      <c r="A128" s="9">
        <v>41074.0</v>
      </c>
      <c r="B128" s="3" t="s">
        <v>218</v>
      </c>
      <c r="C128" s="3" t="s">
        <v>217</v>
      </c>
      <c r="D128" s="3" t="s">
        <v>84</v>
      </c>
      <c r="E128" s="4">
        <v>3.859</v>
      </c>
      <c r="F128" s="3">
        <v>31038.0</v>
      </c>
      <c r="G128" s="5">
        <v>2.695</v>
      </c>
      <c r="H128" s="4">
        <v>10.4</v>
      </c>
      <c r="I128" s="10">
        <f t="shared" si="10"/>
        <v>111</v>
      </c>
      <c r="J128" s="11">
        <f t="shared" si="9"/>
        <v>41.18738404</v>
      </c>
      <c r="K128" s="13">
        <f t="shared" si="3"/>
        <v>2918.67</v>
      </c>
      <c r="L128" s="11">
        <f t="shared" si="4"/>
        <v>811.393</v>
      </c>
      <c r="M128" s="11">
        <f t="shared" si="5"/>
        <v>38.66733608</v>
      </c>
      <c r="N128" s="12">
        <f t="shared" si="6"/>
        <v>0.09403537599</v>
      </c>
      <c r="P128" s="11">
        <f t="shared" si="7"/>
        <v>37.48888821</v>
      </c>
    </row>
    <row r="129">
      <c r="A129" s="9">
        <v>41075.0</v>
      </c>
      <c r="B129" s="3" t="s">
        <v>219</v>
      </c>
      <c r="C129" s="3" t="s">
        <v>220</v>
      </c>
      <c r="D129" s="3" t="s">
        <v>21</v>
      </c>
      <c r="E129" s="4">
        <v>3.979</v>
      </c>
      <c r="F129" s="3">
        <v>31379.0</v>
      </c>
      <c r="G129" s="5">
        <v>7.979</v>
      </c>
      <c r="H129" s="4">
        <v>31.75</v>
      </c>
      <c r="I129" s="10">
        <f t="shared" si="10"/>
        <v>341</v>
      </c>
      <c r="J129" s="11">
        <f t="shared" si="9"/>
        <v>42.73718511</v>
      </c>
      <c r="K129" s="13">
        <f t="shared" si="3"/>
        <v>2950.42</v>
      </c>
      <c r="L129" s="11">
        <f t="shared" si="4"/>
        <v>819.372</v>
      </c>
      <c r="M129" s="11">
        <f t="shared" si="5"/>
        <v>38.70739337</v>
      </c>
      <c r="N129" s="12">
        <f t="shared" si="6"/>
        <v>0.09402530355</v>
      </c>
      <c r="P129" s="11">
        <f t="shared" si="7"/>
        <v>38.48388034</v>
      </c>
    </row>
    <row r="130">
      <c r="A130" s="9">
        <v>41075.0</v>
      </c>
      <c r="B130" s="3" t="s">
        <v>221</v>
      </c>
      <c r="C130" s="3" t="s">
        <v>158</v>
      </c>
      <c r="D130" s="3" t="s">
        <v>28</v>
      </c>
      <c r="E130" s="4">
        <v>4.099</v>
      </c>
      <c r="F130" s="3">
        <v>31652.0</v>
      </c>
      <c r="G130" s="5">
        <v>4.97</v>
      </c>
      <c r="H130" s="4">
        <v>20.37</v>
      </c>
      <c r="I130" s="10">
        <f t="shared" si="10"/>
        <v>273</v>
      </c>
      <c r="J130" s="11">
        <f t="shared" si="9"/>
        <v>54.92957746</v>
      </c>
      <c r="K130" s="13">
        <f t="shared" si="3"/>
        <v>2970.79</v>
      </c>
      <c r="L130" s="11">
        <f t="shared" si="4"/>
        <v>824.342</v>
      </c>
      <c r="M130" s="11">
        <f t="shared" si="5"/>
        <v>38.80624097</v>
      </c>
      <c r="N130" s="12">
        <f t="shared" si="6"/>
        <v>0.09385789208</v>
      </c>
      <c r="P130" s="11">
        <f t="shared" si="7"/>
        <v>41.49427717</v>
      </c>
    </row>
    <row r="131">
      <c r="A131" s="9">
        <v>41076.0</v>
      </c>
      <c r="B131" s="3" t="s">
        <v>222</v>
      </c>
      <c r="C131" s="3" t="s">
        <v>158</v>
      </c>
      <c r="D131" s="3" t="s">
        <v>21</v>
      </c>
      <c r="E131" s="4">
        <v>4.129</v>
      </c>
      <c r="F131" s="3">
        <v>31837.0</v>
      </c>
      <c r="G131" s="5">
        <v>5.177</v>
      </c>
      <c r="H131" s="4">
        <v>21.38</v>
      </c>
      <c r="I131" s="10">
        <f t="shared" si="10"/>
        <v>185</v>
      </c>
      <c r="J131" s="11">
        <f t="shared" si="9"/>
        <v>35.73498165</v>
      </c>
      <c r="K131" s="13">
        <f t="shared" si="3"/>
        <v>2992.17</v>
      </c>
      <c r="L131" s="11">
        <f t="shared" si="4"/>
        <v>829.519</v>
      </c>
      <c r="M131" s="11">
        <f t="shared" si="5"/>
        <v>38.78687019</v>
      </c>
      <c r="N131" s="12">
        <f t="shared" si="6"/>
        <v>0.09398404372</v>
      </c>
      <c r="P131" s="11">
        <f t="shared" si="7"/>
        <v>41.68370718</v>
      </c>
    </row>
    <row r="132">
      <c r="A132" s="9">
        <v>41076.0</v>
      </c>
      <c r="B132" s="3" t="s">
        <v>164</v>
      </c>
      <c r="C132" s="3" t="s">
        <v>17</v>
      </c>
      <c r="D132" s="3" t="s">
        <v>134</v>
      </c>
      <c r="E132" s="4">
        <v>4.059</v>
      </c>
      <c r="F132" s="3">
        <v>32105.0</v>
      </c>
      <c r="G132" s="5">
        <v>7.191</v>
      </c>
      <c r="H132" s="4">
        <v>29.19</v>
      </c>
      <c r="I132" s="10">
        <f t="shared" si="10"/>
        <v>268</v>
      </c>
      <c r="J132" s="11">
        <f t="shared" si="9"/>
        <v>37.26880823</v>
      </c>
      <c r="K132" s="13">
        <f t="shared" si="3"/>
        <v>3021.36</v>
      </c>
      <c r="L132" s="11">
        <f t="shared" si="4"/>
        <v>836.71</v>
      </c>
      <c r="M132" s="11">
        <f t="shared" si="5"/>
        <v>38.77368631</v>
      </c>
      <c r="N132" s="12">
        <f t="shared" si="6"/>
        <v>0.09410870581</v>
      </c>
      <c r="P132" s="11">
        <f t="shared" si="7"/>
        <v>40.77691958</v>
      </c>
    </row>
    <row r="133">
      <c r="A133" s="9">
        <v>41080.0</v>
      </c>
      <c r="B133" s="3" t="s">
        <v>171</v>
      </c>
      <c r="C133" s="3" t="s">
        <v>17</v>
      </c>
      <c r="D133" s="3" t="s">
        <v>21</v>
      </c>
      <c r="E133" s="4">
        <v>4.079</v>
      </c>
      <c r="F133" s="3">
        <v>32343.0</v>
      </c>
      <c r="G133" s="5">
        <v>5.754</v>
      </c>
      <c r="H133" s="4">
        <v>23.47</v>
      </c>
      <c r="I133" s="10">
        <f t="shared" si="10"/>
        <v>238</v>
      </c>
      <c r="J133" s="11">
        <f t="shared" si="9"/>
        <v>41.36253041</v>
      </c>
      <c r="K133" s="13">
        <f t="shared" si="3"/>
        <v>3044.83</v>
      </c>
      <c r="L133" s="11">
        <f t="shared" si="4"/>
        <v>842.464</v>
      </c>
      <c r="M133" s="11">
        <f t="shared" si="5"/>
        <v>38.79155253</v>
      </c>
      <c r="N133" s="12">
        <f t="shared" si="6"/>
        <v>0.0941418545</v>
      </c>
      <c r="P133" s="11">
        <f t="shared" si="7"/>
        <v>41.93567494</v>
      </c>
    </row>
    <row r="134">
      <c r="A134" s="9">
        <v>41264.0</v>
      </c>
      <c r="B134" s="3" t="s">
        <v>223</v>
      </c>
      <c r="C134" s="3" t="s">
        <v>17</v>
      </c>
      <c r="D134" s="3" t="s">
        <v>21</v>
      </c>
      <c r="E134" s="4">
        <v>3.859</v>
      </c>
      <c r="F134" s="3">
        <v>32501.0</v>
      </c>
      <c r="G134" s="5">
        <v>5.36</v>
      </c>
      <c r="H134" s="4">
        <v>20.68</v>
      </c>
      <c r="I134" s="10">
        <f t="shared" si="10"/>
        <v>158</v>
      </c>
      <c r="J134" s="11">
        <f t="shared" si="9"/>
        <v>29.47761194</v>
      </c>
      <c r="K134" s="13">
        <f t="shared" si="3"/>
        <v>3065.51</v>
      </c>
      <c r="L134" s="11">
        <f t="shared" si="4"/>
        <v>847.824</v>
      </c>
      <c r="M134" s="11">
        <f t="shared" si="5"/>
        <v>38.73205867</v>
      </c>
      <c r="N134" s="12">
        <f t="shared" si="6"/>
        <v>0.09432048245</v>
      </c>
      <c r="P134" s="11">
        <f t="shared" si="7"/>
        <v>40.15810711</v>
      </c>
    </row>
    <row r="135">
      <c r="A135" s="9">
        <v>41268.0</v>
      </c>
      <c r="B135" s="3" t="s">
        <v>20</v>
      </c>
      <c r="C135" s="3" t="s">
        <v>17</v>
      </c>
      <c r="D135" s="3" t="s">
        <v>21</v>
      </c>
      <c r="E135" s="4">
        <v>3.759</v>
      </c>
      <c r="F135" s="3">
        <v>32725.0</v>
      </c>
      <c r="G135" s="5">
        <v>6.256</v>
      </c>
      <c r="H135" s="4">
        <v>23.52</v>
      </c>
      <c r="I135" s="10">
        <f t="shared" si="10"/>
        <v>224</v>
      </c>
      <c r="J135" s="11">
        <f t="shared" si="9"/>
        <v>35.8056266</v>
      </c>
      <c r="K135" s="13">
        <f t="shared" si="3"/>
        <v>3089.03</v>
      </c>
      <c r="L135" s="11">
        <f t="shared" si="4"/>
        <v>854.08</v>
      </c>
      <c r="M135" s="11">
        <f t="shared" si="5"/>
        <v>38.71040242</v>
      </c>
      <c r="N135" s="12">
        <f t="shared" si="6"/>
        <v>0.09439358289</v>
      </c>
      <c r="P135" s="11">
        <f t="shared" si="7"/>
        <v>38.78068457</v>
      </c>
    </row>
    <row r="136">
      <c r="A136" s="9">
        <v>41269.0</v>
      </c>
      <c r="B136" s="3" t="s">
        <v>224</v>
      </c>
      <c r="C136" s="3" t="s">
        <v>17</v>
      </c>
      <c r="D136" s="3" t="s">
        <v>184</v>
      </c>
      <c r="E136" s="4">
        <v>3.819</v>
      </c>
      <c r="F136" s="3">
        <v>32874.0</v>
      </c>
      <c r="G136" s="5">
        <v>3.579</v>
      </c>
      <c r="H136" s="4">
        <v>13.67</v>
      </c>
      <c r="I136" s="10">
        <f t="shared" si="10"/>
        <v>149</v>
      </c>
      <c r="J136" s="11">
        <f t="shared" si="9"/>
        <v>41.63174071</v>
      </c>
      <c r="K136" s="13">
        <f t="shared" si="3"/>
        <v>3102.7</v>
      </c>
      <c r="L136" s="11">
        <f t="shared" si="4"/>
        <v>857.659</v>
      </c>
      <c r="M136" s="11">
        <f t="shared" si="5"/>
        <v>38.72271806</v>
      </c>
      <c r="N136" s="12">
        <f t="shared" si="6"/>
        <v>0.09438157815</v>
      </c>
      <c r="P136" s="11">
        <f t="shared" si="7"/>
        <v>36.67797221</v>
      </c>
    </row>
    <row r="137">
      <c r="A137" s="9">
        <v>41269.0</v>
      </c>
      <c r="B137" s="3" t="s">
        <v>225</v>
      </c>
      <c r="C137" s="3" t="s">
        <v>17</v>
      </c>
      <c r="D137" s="3" t="s">
        <v>226</v>
      </c>
      <c r="E137" s="4">
        <v>4.27</v>
      </c>
      <c r="F137" s="3">
        <v>33041.0</v>
      </c>
      <c r="G137" s="5">
        <v>4.089</v>
      </c>
      <c r="H137" s="4">
        <v>17.46</v>
      </c>
      <c r="I137" s="10">
        <f t="shared" si="10"/>
        <v>167</v>
      </c>
      <c r="J137" s="11">
        <f t="shared" si="9"/>
        <v>40.84128149</v>
      </c>
      <c r="K137" s="13">
        <f t="shared" si="3"/>
        <v>3120.16</v>
      </c>
      <c r="L137" s="11">
        <f t="shared" si="4"/>
        <v>861.748</v>
      </c>
      <c r="M137" s="11">
        <f t="shared" si="5"/>
        <v>38.73287318</v>
      </c>
      <c r="N137" s="12">
        <f t="shared" si="6"/>
        <v>0.09443297721</v>
      </c>
      <c r="O137" s="3" t="s">
        <v>227</v>
      </c>
      <c r="P137" s="11">
        <f t="shared" si="7"/>
        <v>37.35765925</v>
      </c>
    </row>
    <row r="138">
      <c r="A138" s="9">
        <v>41270.0</v>
      </c>
      <c r="B138" s="3" t="s">
        <v>225</v>
      </c>
      <c r="C138" s="3" t="s">
        <v>17</v>
      </c>
      <c r="D138" s="3" t="s">
        <v>104</v>
      </c>
      <c r="E138" s="4">
        <v>5.189</v>
      </c>
      <c r="F138" s="3">
        <v>33204.0</v>
      </c>
      <c r="G138" s="5">
        <v>4.171</v>
      </c>
      <c r="H138" s="4">
        <v>21.64</v>
      </c>
      <c r="I138" s="10">
        <f t="shared" si="10"/>
        <v>163</v>
      </c>
      <c r="J138" s="11">
        <f t="shared" si="9"/>
        <v>39.07935747</v>
      </c>
      <c r="K138" s="13">
        <f t="shared" si="3"/>
        <v>3141.8</v>
      </c>
      <c r="L138" s="11">
        <f t="shared" si="4"/>
        <v>865.919</v>
      </c>
      <c r="M138" s="11">
        <f t="shared" si="5"/>
        <v>38.73455908</v>
      </c>
      <c r="N138" s="12">
        <f t="shared" si="6"/>
        <v>0.09462112998</v>
      </c>
      <c r="P138" s="11">
        <f t="shared" si="7"/>
        <v>37.62538943</v>
      </c>
    </row>
    <row r="139">
      <c r="A139" s="9">
        <v>41271.0</v>
      </c>
      <c r="B139" s="3" t="s">
        <v>224</v>
      </c>
      <c r="C139" s="3" t="s">
        <v>17</v>
      </c>
      <c r="D139" s="3" t="s">
        <v>184</v>
      </c>
      <c r="E139" s="4">
        <v>3.819</v>
      </c>
      <c r="F139" s="3">
        <v>33468.0</v>
      </c>
      <c r="G139" s="5">
        <v>7.062</v>
      </c>
      <c r="H139" s="4">
        <v>26.97</v>
      </c>
      <c r="I139" s="10">
        <f t="shared" si="10"/>
        <v>264</v>
      </c>
      <c r="J139" s="11">
        <f t="shared" si="9"/>
        <v>37.38317757</v>
      </c>
      <c r="K139" s="13">
        <f t="shared" si="3"/>
        <v>3168.77</v>
      </c>
      <c r="L139" s="11">
        <f t="shared" si="4"/>
        <v>872.981</v>
      </c>
      <c r="M139" s="11">
        <f t="shared" si="5"/>
        <v>38.723517</v>
      </c>
      <c r="N139" s="12">
        <f t="shared" si="6"/>
        <v>0.09468059041</v>
      </c>
      <c r="P139" s="11">
        <f t="shared" si="7"/>
        <v>36.86469836</v>
      </c>
    </row>
    <row r="140">
      <c r="A140" s="9">
        <v>41273.0</v>
      </c>
      <c r="B140" s="3" t="s">
        <v>20</v>
      </c>
      <c r="C140" s="3" t="s">
        <v>17</v>
      </c>
      <c r="D140" s="3" t="s">
        <v>21</v>
      </c>
      <c r="E140" s="4">
        <v>3.819</v>
      </c>
      <c r="F140" s="3">
        <v>33655.0</v>
      </c>
      <c r="G140" s="5">
        <v>4.392</v>
      </c>
      <c r="H140" s="4">
        <v>16.77</v>
      </c>
      <c r="I140" s="10">
        <f t="shared" si="10"/>
        <v>187</v>
      </c>
      <c r="J140" s="11">
        <f t="shared" si="9"/>
        <v>42.57741348</v>
      </c>
      <c r="K140" s="13">
        <f t="shared" si="3"/>
        <v>3185.54</v>
      </c>
      <c r="L140" s="11">
        <f t="shared" si="4"/>
        <v>877.373</v>
      </c>
      <c r="M140" s="11">
        <f t="shared" si="5"/>
        <v>38.74300226</v>
      </c>
      <c r="N140" s="12">
        <f t="shared" si="6"/>
        <v>0.09465280048</v>
      </c>
      <c r="P140" s="11">
        <f t="shared" si="7"/>
        <v>39.05377509</v>
      </c>
    </row>
    <row r="141">
      <c r="A141" s="9">
        <v>41302.0</v>
      </c>
      <c r="B141" s="3" t="s">
        <v>20</v>
      </c>
      <c r="C141" s="3" t="s">
        <v>17</v>
      </c>
      <c r="D141" s="3" t="s">
        <v>21</v>
      </c>
      <c r="E141" s="4">
        <v>3.919</v>
      </c>
      <c r="F141" s="3">
        <v>33799.0</v>
      </c>
      <c r="G141" s="5">
        <v>3.826</v>
      </c>
      <c r="H141" s="4">
        <v>14.99</v>
      </c>
      <c r="I141" s="10">
        <f t="shared" si="10"/>
        <v>144</v>
      </c>
      <c r="J141" s="11">
        <f t="shared" si="9"/>
        <v>37.63721903</v>
      </c>
      <c r="K141" s="13">
        <f t="shared" si="3"/>
        <v>3200.53</v>
      </c>
      <c r="L141" s="11">
        <f t="shared" si="4"/>
        <v>881.199</v>
      </c>
      <c r="M141" s="11">
        <f t="shared" si="5"/>
        <v>38.73815328</v>
      </c>
      <c r="N141" s="12">
        <f t="shared" si="6"/>
        <v>0.09469303826</v>
      </c>
      <c r="P141" s="11">
        <f t="shared" si="7"/>
        <v>39.60323021</v>
      </c>
    </row>
    <row r="142">
      <c r="A142" s="9">
        <v>41392.0</v>
      </c>
      <c r="B142" s="3" t="s">
        <v>20</v>
      </c>
      <c r="C142" s="3" t="s">
        <v>17</v>
      </c>
      <c r="D142" s="3" t="s">
        <v>21</v>
      </c>
      <c r="E142" s="4">
        <v>4.059</v>
      </c>
      <c r="F142" s="3">
        <v>34098.0</v>
      </c>
      <c r="G142" s="5">
        <v>8.2</v>
      </c>
      <c r="H142" s="4">
        <v>33.28</v>
      </c>
      <c r="I142" s="10">
        <f t="shared" si="10"/>
        <v>299</v>
      </c>
      <c r="J142" s="11">
        <f t="shared" si="9"/>
        <v>36.46341463</v>
      </c>
      <c r="K142" s="13">
        <f t="shared" si="3"/>
        <v>3233.81</v>
      </c>
      <c r="L142" s="11">
        <f t="shared" si="4"/>
        <v>889.399</v>
      </c>
      <c r="M142" s="11">
        <f t="shared" si="5"/>
        <v>38.71697368</v>
      </c>
      <c r="N142" s="12">
        <f t="shared" si="6"/>
        <v>0.09483870022</v>
      </c>
      <c r="P142" s="11">
        <f t="shared" si="7"/>
        <v>38.56332703</v>
      </c>
    </row>
    <row r="143">
      <c r="A143" s="9">
        <v>41489.0</v>
      </c>
      <c r="B143" s="3" t="s">
        <v>20</v>
      </c>
      <c r="C143" s="3" t="s">
        <v>17</v>
      </c>
      <c r="D143" s="3" t="s">
        <v>21</v>
      </c>
      <c r="E143" s="4">
        <v>4.199</v>
      </c>
      <c r="F143" s="3">
        <v>34350.0</v>
      </c>
      <c r="G143" s="5">
        <v>6.885</v>
      </c>
      <c r="H143" s="4">
        <v>28.91</v>
      </c>
      <c r="I143" s="10">
        <f t="shared" si="10"/>
        <v>252</v>
      </c>
      <c r="J143" s="11">
        <f t="shared" si="9"/>
        <v>36.60130719</v>
      </c>
      <c r="K143" s="13">
        <f t="shared" si="3"/>
        <v>3262.72</v>
      </c>
      <c r="L143" s="11">
        <f t="shared" si="4"/>
        <v>896.284</v>
      </c>
      <c r="M143" s="11">
        <f t="shared" si="5"/>
        <v>38.70056243</v>
      </c>
      <c r="N143" s="12">
        <f t="shared" si="6"/>
        <v>0.0949845706</v>
      </c>
      <c r="P143" s="11">
        <f t="shared" si="7"/>
        <v>37.90247857</v>
      </c>
    </row>
    <row r="144">
      <c r="A144" s="9">
        <v>41490.0</v>
      </c>
      <c r="B144" s="3" t="s">
        <v>224</v>
      </c>
      <c r="C144" s="3" t="s">
        <v>17</v>
      </c>
      <c r="D144" s="3" t="s">
        <v>184</v>
      </c>
      <c r="E144" s="4">
        <v>4.219</v>
      </c>
      <c r="F144" s="3">
        <v>34565.0</v>
      </c>
      <c r="G144" s="5">
        <v>4.646</v>
      </c>
      <c r="H144" s="4">
        <v>19.6</v>
      </c>
      <c r="I144" s="10">
        <f t="shared" si="10"/>
        <v>215</v>
      </c>
      <c r="J144" s="11">
        <f t="shared" si="9"/>
        <v>46.27636677</v>
      </c>
      <c r="K144" s="13">
        <f t="shared" si="3"/>
        <v>3282.32</v>
      </c>
      <c r="L144" s="11">
        <f t="shared" si="4"/>
        <v>900.93</v>
      </c>
      <c r="M144" s="11">
        <f t="shared" si="5"/>
        <v>38.74001098</v>
      </c>
      <c r="N144" s="12">
        <f t="shared" si="6"/>
        <v>0.0949607985</v>
      </c>
      <c r="P144" s="11">
        <f t="shared" si="7"/>
        <v>38.8734969</v>
      </c>
    </row>
    <row r="145">
      <c r="A145" s="9">
        <v>41490.0</v>
      </c>
      <c r="B145" s="3" t="s">
        <v>190</v>
      </c>
      <c r="C145" s="3" t="s">
        <v>17</v>
      </c>
      <c r="D145" s="3" t="s">
        <v>21</v>
      </c>
      <c r="E145" s="4">
        <v>5.199</v>
      </c>
      <c r="F145" s="3">
        <v>34829.0</v>
      </c>
      <c r="G145" s="5">
        <v>6.208</v>
      </c>
      <c r="H145" s="4">
        <v>32.28</v>
      </c>
      <c r="I145" s="10">
        <f t="shared" si="10"/>
        <v>264</v>
      </c>
      <c r="J145" s="11">
        <f t="shared" si="9"/>
        <v>42.5257732</v>
      </c>
      <c r="K145" s="13">
        <f t="shared" si="3"/>
        <v>3314.6</v>
      </c>
      <c r="L145" s="11">
        <f t="shared" si="4"/>
        <v>907.138</v>
      </c>
      <c r="M145" s="11">
        <f t="shared" si="5"/>
        <v>38.76616973</v>
      </c>
      <c r="N145" s="12">
        <f t="shared" si="6"/>
        <v>0.09516781992</v>
      </c>
      <c r="P145" s="11">
        <f t="shared" si="7"/>
        <v>39.84541968</v>
      </c>
    </row>
    <row r="146">
      <c r="A146" s="9">
        <v>41491.0</v>
      </c>
      <c r="B146" s="3" t="s">
        <v>228</v>
      </c>
      <c r="C146" s="3" t="s">
        <v>17</v>
      </c>
      <c r="D146" s="3" t="s">
        <v>104</v>
      </c>
      <c r="E146" s="4">
        <v>4.299</v>
      </c>
      <c r="F146" s="3">
        <v>35151.0</v>
      </c>
      <c r="G146" s="5">
        <v>6.884</v>
      </c>
      <c r="H146" s="4">
        <v>29.59</v>
      </c>
      <c r="I146" s="10">
        <f t="shared" si="10"/>
        <v>322</v>
      </c>
      <c r="J146" s="11">
        <f t="shared" si="9"/>
        <v>46.77513074</v>
      </c>
      <c r="K146" s="13">
        <f t="shared" si="3"/>
        <v>3344.19</v>
      </c>
      <c r="L146" s="11">
        <f t="shared" si="4"/>
        <v>914.022</v>
      </c>
      <c r="M146" s="11">
        <f t="shared" si="5"/>
        <v>38.82706926</v>
      </c>
      <c r="N146" s="12">
        <f t="shared" si="6"/>
        <v>0.09513783392</v>
      </c>
      <c r="P146" s="11">
        <f t="shared" si="7"/>
        <v>40.81966766</v>
      </c>
    </row>
    <row r="147">
      <c r="A147" s="9">
        <v>41492.0</v>
      </c>
      <c r="B147" s="3" t="s">
        <v>229</v>
      </c>
      <c r="C147" s="3" t="s">
        <v>230</v>
      </c>
      <c r="D147" s="3" t="s">
        <v>104</v>
      </c>
      <c r="E147" s="4">
        <v>4.099</v>
      </c>
      <c r="F147" s="3">
        <v>35429.0</v>
      </c>
      <c r="G147" s="5">
        <v>6.515</v>
      </c>
      <c r="H147" s="4">
        <v>26.7</v>
      </c>
      <c r="I147" s="10">
        <f t="shared" si="10"/>
        <v>278</v>
      </c>
      <c r="J147" s="11">
        <f t="shared" si="9"/>
        <v>42.67075979</v>
      </c>
      <c r="K147" s="13">
        <f t="shared" si="3"/>
        <v>3370.89</v>
      </c>
      <c r="L147" s="11">
        <f t="shared" si="4"/>
        <v>920.537</v>
      </c>
      <c r="M147" s="11">
        <f t="shared" si="5"/>
        <v>38.85453211</v>
      </c>
      <c r="N147" s="12">
        <f t="shared" si="6"/>
        <v>0.09514493776</v>
      </c>
      <c r="P147" s="11">
        <f t="shared" si="7"/>
        <v>41.43576186</v>
      </c>
    </row>
    <row r="148">
      <c r="A148" s="9">
        <v>41493.0</v>
      </c>
      <c r="B148" s="3" t="s">
        <v>231</v>
      </c>
      <c r="C148" s="3" t="s">
        <v>232</v>
      </c>
      <c r="D148" s="3" t="s">
        <v>21</v>
      </c>
      <c r="E148" s="4">
        <v>4.199</v>
      </c>
      <c r="F148" s="3">
        <v>35740.0</v>
      </c>
      <c r="G148" s="5">
        <v>6.561</v>
      </c>
      <c r="H148" s="4">
        <v>27.55</v>
      </c>
      <c r="I148" s="10">
        <f t="shared" si="10"/>
        <v>311</v>
      </c>
      <c r="J148" s="11">
        <f t="shared" si="9"/>
        <v>47.40131078</v>
      </c>
      <c r="K148" s="13">
        <f t="shared" si="3"/>
        <v>3398.44</v>
      </c>
      <c r="L148" s="11">
        <f t="shared" si="4"/>
        <v>927.098</v>
      </c>
      <c r="M148" s="11">
        <f t="shared" si="5"/>
        <v>38.91558997</v>
      </c>
      <c r="N148" s="12">
        <f t="shared" si="6"/>
        <v>0.09508785674</v>
      </c>
      <c r="P148" s="11">
        <f t="shared" si="7"/>
        <v>43.55553198</v>
      </c>
    </row>
    <row r="149">
      <c r="A149" s="9">
        <v>41495.0</v>
      </c>
      <c r="B149" s="3" t="s">
        <v>233</v>
      </c>
      <c r="C149" s="3" t="s">
        <v>232</v>
      </c>
      <c r="D149" s="3" t="s">
        <v>234</v>
      </c>
      <c r="E149" s="4">
        <v>4.159</v>
      </c>
      <c r="F149" s="3">
        <v>35986.0</v>
      </c>
      <c r="G149" s="5">
        <v>4.985</v>
      </c>
      <c r="H149" s="4">
        <v>20.73</v>
      </c>
      <c r="I149" s="10">
        <f t="shared" si="10"/>
        <v>246</v>
      </c>
      <c r="J149" s="11">
        <f t="shared" si="9"/>
        <v>49.34804413</v>
      </c>
      <c r="K149" s="13">
        <f t="shared" si="3"/>
        <v>3419.17</v>
      </c>
      <c r="L149" s="11">
        <f t="shared" si="4"/>
        <v>932.083</v>
      </c>
      <c r="M149" s="11">
        <f t="shared" si="5"/>
        <v>38.9719109</v>
      </c>
      <c r="N149" s="12">
        <f t="shared" si="6"/>
        <v>0.09501389429</v>
      </c>
      <c r="P149" s="11">
        <f t="shared" si="7"/>
        <v>45.69960055</v>
      </c>
    </row>
    <row r="150">
      <c r="A150" s="9">
        <v>41498.0</v>
      </c>
      <c r="B150" s="3" t="s">
        <v>235</v>
      </c>
      <c r="C150" s="3" t="s">
        <v>236</v>
      </c>
      <c r="D150" s="3" t="s">
        <v>237</v>
      </c>
      <c r="E150" s="4">
        <v>5.374</v>
      </c>
      <c r="F150" s="3">
        <v>36146.0</v>
      </c>
      <c r="G150" s="5">
        <v>2.969</v>
      </c>
      <c r="H150" s="4">
        <v>19.59</v>
      </c>
      <c r="I150" s="10">
        <f t="shared" si="10"/>
        <v>160</v>
      </c>
      <c r="J150" s="11">
        <f t="shared" si="9"/>
        <v>53.89019872</v>
      </c>
      <c r="K150" s="13">
        <f t="shared" si="3"/>
        <v>3438.76</v>
      </c>
      <c r="L150" s="11">
        <f t="shared" si="4"/>
        <v>935.052</v>
      </c>
      <c r="M150" s="11">
        <f t="shared" si="5"/>
        <v>39.01972468</v>
      </c>
      <c r="N150" s="12">
        <f t="shared" si="6"/>
        <v>0.09513528468</v>
      </c>
      <c r="O150" s="3" t="s">
        <v>238</v>
      </c>
      <c r="P150" s="11">
        <f t="shared" si="7"/>
        <v>46.33374363</v>
      </c>
    </row>
    <row r="151">
      <c r="A151" s="9">
        <v>41499.0</v>
      </c>
      <c r="B151" s="3" t="s">
        <v>239</v>
      </c>
      <c r="C151" s="3" t="s">
        <v>240</v>
      </c>
      <c r="D151" s="3" t="s">
        <v>21</v>
      </c>
      <c r="E151" s="4">
        <v>4.359</v>
      </c>
      <c r="F151" s="3">
        <v>36425.0</v>
      </c>
      <c r="G151" s="5">
        <v>5.969</v>
      </c>
      <c r="H151" s="4">
        <v>26.02</v>
      </c>
      <c r="I151" s="10">
        <f t="shared" si="10"/>
        <v>279</v>
      </c>
      <c r="J151" s="11">
        <f t="shared" si="9"/>
        <v>46.74149774</v>
      </c>
      <c r="K151" s="13">
        <f t="shared" si="3"/>
        <v>3464.78</v>
      </c>
      <c r="L151" s="11">
        <f t="shared" si="4"/>
        <v>941.021</v>
      </c>
      <c r="M151" s="11">
        <f t="shared" si="5"/>
        <v>39.0691618</v>
      </c>
      <c r="N151" s="12">
        <f t="shared" si="6"/>
        <v>0.09512093342</v>
      </c>
      <c r="P151" s="11">
        <f t="shared" si="7"/>
        <v>47.10326713</v>
      </c>
    </row>
    <row r="152">
      <c r="A152" s="9">
        <v>41501.0</v>
      </c>
      <c r="B152" s="3" t="s">
        <v>241</v>
      </c>
      <c r="C152" s="3" t="s">
        <v>240</v>
      </c>
      <c r="D152" s="3" t="s">
        <v>242</v>
      </c>
      <c r="E152" s="4">
        <v>4.139</v>
      </c>
      <c r="F152" s="3">
        <v>36693.0</v>
      </c>
      <c r="G152" s="5">
        <v>6.309</v>
      </c>
      <c r="H152" s="4">
        <v>26.11</v>
      </c>
      <c r="I152" s="10">
        <f t="shared" si="10"/>
        <v>268</v>
      </c>
      <c r="J152" s="11">
        <f t="shared" si="9"/>
        <v>42.47899826</v>
      </c>
      <c r="K152" s="13">
        <f t="shared" si="3"/>
        <v>3490.89</v>
      </c>
      <c r="L152" s="11">
        <f t="shared" si="4"/>
        <v>947.33</v>
      </c>
      <c r="M152" s="11">
        <f t="shared" si="5"/>
        <v>39.09208101</v>
      </c>
      <c r="N152" s="12">
        <f t="shared" si="6"/>
        <v>0.0951377647</v>
      </c>
      <c r="P152" s="11">
        <f t="shared" si="7"/>
        <v>46.29518434</v>
      </c>
    </row>
    <row r="153">
      <c r="A153" s="9">
        <v>41503.0</v>
      </c>
      <c r="B153" s="3" t="s">
        <v>243</v>
      </c>
      <c r="C153" s="3" t="s">
        <v>240</v>
      </c>
      <c r="D153" s="3" t="s">
        <v>244</v>
      </c>
      <c r="E153" s="4">
        <v>5.199</v>
      </c>
      <c r="F153" s="3">
        <v>36852.0</v>
      </c>
      <c r="G153" s="5">
        <v>3.525</v>
      </c>
      <c r="H153" s="4">
        <v>18.33</v>
      </c>
      <c r="I153" s="10">
        <f t="shared" si="10"/>
        <v>159</v>
      </c>
      <c r="J153" s="11">
        <f t="shared" si="9"/>
        <v>45.10638298</v>
      </c>
      <c r="K153" s="13">
        <f t="shared" si="3"/>
        <v>3509.22</v>
      </c>
      <c r="L153" s="11">
        <f t="shared" si="4"/>
        <v>950.855</v>
      </c>
      <c r="M153" s="11">
        <f t="shared" si="5"/>
        <v>39.11458306</v>
      </c>
      <c r="N153" s="12">
        <f t="shared" si="6"/>
        <v>0.09522468251</v>
      </c>
      <c r="O153" s="3" t="s">
        <v>227</v>
      </c>
      <c r="P153" s="11">
        <f t="shared" si="7"/>
        <v>46.93581371</v>
      </c>
    </row>
    <row r="154">
      <c r="A154" s="9">
        <v>41504.0</v>
      </c>
      <c r="B154" s="3" t="s">
        <v>243</v>
      </c>
      <c r="C154" s="3" t="s">
        <v>240</v>
      </c>
      <c r="D154" s="3" t="s">
        <v>244</v>
      </c>
      <c r="E154" s="4">
        <v>5.199</v>
      </c>
      <c r="F154" s="3">
        <v>37114.0</v>
      </c>
      <c r="G154" s="5">
        <v>5.573</v>
      </c>
      <c r="H154" s="4">
        <v>28.97</v>
      </c>
      <c r="I154" s="10">
        <f t="shared" si="10"/>
        <v>262</v>
      </c>
      <c r="J154" s="11">
        <f t="shared" si="9"/>
        <v>47.01238112</v>
      </c>
      <c r="K154" s="13">
        <f t="shared" si="3"/>
        <v>3538.19</v>
      </c>
      <c r="L154" s="11">
        <f t="shared" si="4"/>
        <v>956.428</v>
      </c>
      <c r="M154" s="11">
        <f t="shared" si="5"/>
        <v>39.1610251</v>
      </c>
      <c r="N154" s="12">
        <f t="shared" si="6"/>
        <v>0.09533302797</v>
      </c>
      <c r="O154" s="3" t="s">
        <v>227</v>
      </c>
      <c r="P154" s="11">
        <f t="shared" si="7"/>
        <v>46.84623253</v>
      </c>
    </row>
    <row r="155">
      <c r="A155" s="9">
        <v>41506.0</v>
      </c>
      <c r="B155" s="3" t="s">
        <v>245</v>
      </c>
      <c r="C155" s="3" t="s">
        <v>240</v>
      </c>
      <c r="D155" s="3" t="s">
        <v>242</v>
      </c>
      <c r="E155" s="4">
        <v>4.129</v>
      </c>
      <c r="F155" s="3">
        <v>37306.0</v>
      </c>
      <c r="G155" s="5">
        <v>4.156</v>
      </c>
      <c r="H155" s="4">
        <v>17.16</v>
      </c>
      <c r="I155" s="10">
        <f t="shared" si="10"/>
        <v>192</v>
      </c>
      <c r="J155" s="11">
        <f t="shared" si="9"/>
        <v>46.19826756</v>
      </c>
      <c r="K155" s="13">
        <f t="shared" si="3"/>
        <v>3555.35</v>
      </c>
      <c r="L155" s="11">
        <f t="shared" si="4"/>
        <v>960.584</v>
      </c>
      <c r="M155" s="11">
        <f t="shared" si="5"/>
        <v>39.19175026</v>
      </c>
      <c r="N155" s="12">
        <f t="shared" si="6"/>
        <v>0.09530236423</v>
      </c>
      <c r="P155" s="11">
        <f t="shared" si="7"/>
        <v>46.31416442</v>
      </c>
    </row>
    <row r="156">
      <c r="A156" s="9">
        <v>41506.0</v>
      </c>
      <c r="B156" s="3" t="s">
        <v>246</v>
      </c>
      <c r="C156" s="3" t="s">
        <v>240</v>
      </c>
      <c r="D156" s="3" t="s">
        <v>242</v>
      </c>
      <c r="E156" s="4">
        <v>4.259</v>
      </c>
      <c r="F156" s="3">
        <v>37533.0</v>
      </c>
      <c r="G156" s="5">
        <v>6.292</v>
      </c>
      <c r="H156" s="4">
        <v>26.8</v>
      </c>
      <c r="I156" s="10">
        <f t="shared" si="10"/>
        <v>227</v>
      </c>
      <c r="J156" s="11">
        <f t="shared" si="9"/>
        <v>36.0775588</v>
      </c>
      <c r="K156" s="13">
        <f t="shared" si="3"/>
        <v>3582.15</v>
      </c>
      <c r="L156" s="11">
        <f t="shared" si="4"/>
        <v>966.876</v>
      </c>
      <c r="M156" s="11">
        <f t="shared" si="5"/>
        <v>39.17130047</v>
      </c>
      <c r="N156" s="12">
        <f t="shared" si="6"/>
        <v>0.09544001279</v>
      </c>
      <c r="P156" s="11">
        <f t="shared" si="7"/>
        <v>43.58345902</v>
      </c>
    </row>
    <row r="157">
      <c r="A157" s="9">
        <v>41507.0</v>
      </c>
      <c r="B157" s="3" t="s">
        <v>247</v>
      </c>
      <c r="C157" s="3" t="s">
        <v>240</v>
      </c>
      <c r="D157" s="3" t="s">
        <v>242</v>
      </c>
      <c r="E157" s="4">
        <v>4.329</v>
      </c>
      <c r="F157" s="3">
        <v>37782.0</v>
      </c>
      <c r="G157" s="5">
        <v>5.283</v>
      </c>
      <c r="H157" s="4">
        <v>22.87</v>
      </c>
      <c r="I157" s="10">
        <f t="shared" si="10"/>
        <v>249</v>
      </c>
      <c r="J157" s="11">
        <f t="shared" si="9"/>
        <v>47.13231119</v>
      </c>
      <c r="K157" s="13">
        <f t="shared" si="3"/>
        <v>3605.02</v>
      </c>
      <c r="L157" s="11">
        <f t="shared" si="4"/>
        <v>972.159</v>
      </c>
      <c r="M157" s="11">
        <f t="shared" si="5"/>
        <v>39.21495362</v>
      </c>
      <c r="N157" s="12">
        <f t="shared" si="6"/>
        <v>0.09541633582</v>
      </c>
      <c r="P157" s="11">
        <f t="shared" si="7"/>
        <v>43.58019141</v>
      </c>
    </row>
    <row r="158">
      <c r="A158" s="9">
        <v>41511.0</v>
      </c>
      <c r="B158" s="3" t="s">
        <v>248</v>
      </c>
      <c r="C158" s="3" t="s">
        <v>240</v>
      </c>
      <c r="D158" s="3" t="s">
        <v>249</v>
      </c>
      <c r="E158" s="4">
        <v>4.369</v>
      </c>
      <c r="F158" s="3">
        <v>38071.0</v>
      </c>
      <c r="G158" s="5">
        <v>5.467</v>
      </c>
      <c r="H158" s="4">
        <v>28.38</v>
      </c>
      <c r="I158" s="10">
        <f t="shared" si="10"/>
        <v>289</v>
      </c>
      <c r="J158" s="11">
        <f t="shared" si="9"/>
        <v>52.86263033</v>
      </c>
      <c r="K158" s="13">
        <f t="shared" si="3"/>
        <v>3633.4</v>
      </c>
      <c r="L158" s="11">
        <f t="shared" si="4"/>
        <v>977.626</v>
      </c>
      <c r="M158" s="11">
        <f t="shared" si="5"/>
        <v>39.29195831</v>
      </c>
      <c r="N158" s="12">
        <f t="shared" si="6"/>
        <v>0.09543747209</v>
      </c>
      <c r="P158" s="11">
        <f t="shared" si="7"/>
        <v>45.48455242</v>
      </c>
    </row>
    <row r="159">
      <c r="A159" s="9">
        <v>41517.0</v>
      </c>
      <c r="B159" s="3" t="s">
        <v>250</v>
      </c>
      <c r="C159" s="3" t="s">
        <v>232</v>
      </c>
      <c r="D159" s="3" t="s">
        <v>104</v>
      </c>
      <c r="E159" s="4">
        <v>3.939</v>
      </c>
      <c r="F159" s="3">
        <v>38407.0</v>
      </c>
      <c r="G159" s="5">
        <v>6.919</v>
      </c>
      <c r="H159" s="4">
        <v>27.25</v>
      </c>
      <c r="I159" s="10">
        <f t="shared" si="10"/>
        <v>336</v>
      </c>
      <c r="J159" s="11">
        <f t="shared" si="9"/>
        <v>48.56193091</v>
      </c>
      <c r="K159" s="13">
        <f t="shared" si="3"/>
        <v>3660.65</v>
      </c>
      <c r="L159" s="11">
        <f t="shared" si="4"/>
        <v>984.545</v>
      </c>
      <c r="M159" s="11">
        <f t="shared" si="5"/>
        <v>39.35768488</v>
      </c>
      <c r="N159" s="12">
        <f t="shared" si="6"/>
        <v>0.09531205249</v>
      </c>
      <c r="P159" s="11">
        <f t="shared" si="7"/>
        <v>46.15612942</v>
      </c>
    </row>
    <row r="160">
      <c r="A160" s="9">
        <v>41517.0</v>
      </c>
      <c r="B160" s="3" t="s">
        <v>251</v>
      </c>
      <c r="C160" s="3" t="s">
        <v>230</v>
      </c>
      <c r="D160" s="3" t="s">
        <v>184</v>
      </c>
      <c r="E160" s="4">
        <v>3.859</v>
      </c>
      <c r="F160" s="3">
        <v>38683.0</v>
      </c>
      <c r="G160" s="5">
        <v>6.546</v>
      </c>
      <c r="H160" s="4">
        <v>25.26</v>
      </c>
      <c r="I160" s="10">
        <f t="shared" si="10"/>
        <v>276</v>
      </c>
      <c r="J160" s="11">
        <f t="shared" si="9"/>
        <v>42.16315307</v>
      </c>
      <c r="K160" s="13">
        <f t="shared" si="3"/>
        <v>3685.91</v>
      </c>
      <c r="L160" s="11">
        <f t="shared" si="4"/>
        <v>991.091</v>
      </c>
      <c r="M160" s="11">
        <f t="shared" si="5"/>
        <v>39.37637865</v>
      </c>
      <c r="N160" s="12">
        <f t="shared" si="6"/>
        <v>0.09528500892</v>
      </c>
      <c r="P160" s="11">
        <f t="shared" si="7"/>
        <v>45.26440297</v>
      </c>
    </row>
    <row r="161">
      <c r="A161" s="9">
        <v>41518.0</v>
      </c>
      <c r="B161" s="3" t="s">
        <v>252</v>
      </c>
      <c r="C161" s="3" t="s">
        <v>17</v>
      </c>
      <c r="D161" s="3" t="s">
        <v>104</v>
      </c>
      <c r="E161" s="4">
        <v>4.059</v>
      </c>
      <c r="F161" s="3">
        <v>38948.0</v>
      </c>
      <c r="G161" s="5">
        <v>7.214</v>
      </c>
      <c r="H161" s="4">
        <v>29.28</v>
      </c>
      <c r="I161" s="10">
        <f t="shared" si="10"/>
        <v>265</v>
      </c>
      <c r="J161" s="11">
        <f t="shared" si="9"/>
        <v>36.73412808</v>
      </c>
      <c r="K161" s="13">
        <f t="shared" si="3"/>
        <v>3715.19</v>
      </c>
      <c r="L161" s="11">
        <f t="shared" si="4"/>
        <v>998.305</v>
      </c>
      <c r="M161" s="11">
        <f t="shared" si="5"/>
        <v>39.35711723</v>
      </c>
      <c r="N161" s="12">
        <f t="shared" si="6"/>
        <v>0.09538846667</v>
      </c>
      <c r="P161" s="11">
        <f t="shared" si="7"/>
        <v>43.53012911</v>
      </c>
    </row>
    <row r="162">
      <c r="A162" s="9">
        <v>41519.0</v>
      </c>
      <c r="B162" s="3" t="s">
        <v>253</v>
      </c>
      <c r="C162" s="3" t="s">
        <v>17</v>
      </c>
      <c r="D162" s="3" t="s">
        <v>129</v>
      </c>
      <c r="E162" s="4">
        <v>3.359</v>
      </c>
      <c r="F162" s="3">
        <v>39194.0</v>
      </c>
      <c r="G162" s="5">
        <v>6.507</v>
      </c>
      <c r="H162" s="4">
        <v>28.36</v>
      </c>
      <c r="I162" s="10">
        <f t="shared" si="10"/>
        <v>246</v>
      </c>
      <c r="J162" s="11">
        <f t="shared" si="9"/>
        <v>37.8054403</v>
      </c>
      <c r="K162" s="13">
        <f t="shared" si="3"/>
        <v>3743.55</v>
      </c>
      <c r="L162" s="11">
        <f t="shared" si="4"/>
        <v>1004.812</v>
      </c>
      <c r="M162" s="11">
        <f t="shared" si="5"/>
        <v>39.34698106</v>
      </c>
      <c r="N162" s="12">
        <f t="shared" si="6"/>
        <v>0.09551334388</v>
      </c>
      <c r="P162" s="11">
        <f t="shared" si="7"/>
        <v>43.78426824</v>
      </c>
    </row>
    <row r="163">
      <c r="A163" s="9">
        <v>41521.0</v>
      </c>
      <c r="B163" s="3" t="s">
        <v>254</v>
      </c>
      <c r="C163" s="3" t="s">
        <v>17</v>
      </c>
      <c r="D163" s="3" t="s">
        <v>104</v>
      </c>
      <c r="E163" s="4">
        <v>4.459</v>
      </c>
      <c r="F163" s="3">
        <v>39489.0</v>
      </c>
      <c r="G163" s="5">
        <v>6.393</v>
      </c>
      <c r="H163" s="4">
        <v>28.51</v>
      </c>
      <c r="I163" s="10">
        <f t="shared" si="10"/>
        <v>295</v>
      </c>
      <c r="J163" s="11">
        <f t="shared" si="9"/>
        <v>46.14422024</v>
      </c>
      <c r="K163" s="13">
        <f t="shared" si="3"/>
        <v>3772.06</v>
      </c>
      <c r="L163" s="11">
        <f t="shared" si="4"/>
        <v>1011.205</v>
      </c>
      <c r="M163" s="11">
        <f t="shared" si="5"/>
        <v>39.39032723</v>
      </c>
      <c r="N163" s="12">
        <f t="shared" si="6"/>
        <v>0.09552179088</v>
      </c>
      <c r="P163" s="11">
        <f t="shared" si="7"/>
        <v>43.71766634</v>
      </c>
    </row>
    <row r="164">
      <c r="A164" s="9">
        <v>41523.0</v>
      </c>
      <c r="B164" s="3" t="s">
        <v>165</v>
      </c>
      <c r="C164" s="3" t="s">
        <v>17</v>
      </c>
      <c r="D164" s="3" t="s">
        <v>104</v>
      </c>
      <c r="E164" s="4">
        <v>4.119</v>
      </c>
      <c r="F164" s="3">
        <v>39739.0</v>
      </c>
      <c r="G164" s="5">
        <v>6.209</v>
      </c>
      <c r="H164" s="4">
        <v>25.57</v>
      </c>
      <c r="I164" s="10">
        <f t="shared" si="10"/>
        <v>250</v>
      </c>
      <c r="J164" s="11">
        <f t="shared" si="9"/>
        <v>40.26413271</v>
      </c>
      <c r="K164" s="13">
        <f t="shared" si="3"/>
        <v>3797.63</v>
      </c>
      <c r="L164" s="11">
        <f t="shared" si="4"/>
        <v>1017.414</v>
      </c>
      <c r="M164" s="11">
        <f t="shared" si="5"/>
        <v>39.39570582</v>
      </c>
      <c r="N164" s="12">
        <f t="shared" si="6"/>
        <v>0.0955643071</v>
      </c>
      <c r="P164" s="11">
        <f t="shared" si="7"/>
        <v>41.92218759</v>
      </c>
    </row>
    <row r="165">
      <c r="A165" s="9">
        <v>41629.0</v>
      </c>
      <c r="B165" s="3" t="s">
        <v>20</v>
      </c>
      <c r="C165" s="3" t="s">
        <v>17</v>
      </c>
      <c r="D165" s="3" t="s">
        <v>21</v>
      </c>
      <c r="E165" s="4">
        <v>3.839</v>
      </c>
      <c r="F165" s="3">
        <v>39887.0</v>
      </c>
      <c r="G165" s="5">
        <v>4.655</v>
      </c>
      <c r="H165" s="4">
        <v>17.87</v>
      </c>
      <c r="I165" s="10">
        <f t="shared" si="10"/>
        <v>148</v>
      </c>
      <c r="J165" s="11">
        <f t="shared" si="9"/>
        <v>31.79377014</v>
      </c>
      <c r="K165" s="13">
        <f t="shared" si="3"/>
        <v>3815.5</v>
      </c>
      <c r="L165" s="11">
        <f t="shared" si="4"/>
        <v>1022.069</v>
      </c>
      <c r="M165" s="11">
        <f t="shared" si="5"/>
        <v>39.36078566</v>
      </c>
      <c r="N165" s="12">
        <f t="shared" si="6"/>
        <v>0.0956577331</v>
      </c>
      <c r="P165" s="11">
        <f t="shared" si="7"/>
        <v>39.44142416</v>
      </c>
    </row>
    <row r="166">
      <c r="A166" s="9">
        <v>41634.0</v>
      </c>
      <c r="B166" s="3" t="s">
        <v>20</v>
      </c>
      <c r="C166" s="3" t="s">
        <v>17</v>
      </c>
      <c r="D166" s="3" t="s">
        <v>21</v>
      </c>
      <c r="E166" s="4">
        <v>3.839</v>
      </c>
      <c r="F166" s="3">
        <v>40069.0</v>
      </c>
      <c r="G166" s="5">
        <v>5.145</v>
      </c>
      <c r="H166" s="4">
        <v>19.75</v>
      </c>
      <c r="I166" s="10">
        <f t="shared" si="10"/>
        <v>182</v>
      </c>
      <c r="J166" s="11">
        <f t="shared" si="9"/>
        <v>35.37414966</v>
      </c>
      <c r="K166" s="13">
        <f t="shared" si="3"/>
        <v>3835.25</v>
      </c>
      <c r="L166" s="11">
        <f t="shared" si="4"/>
        <v>1027.214</v>
      </c>
      <c r="M166" s="11">
        <f t="shared" si="5"/>
        <v>39.34064726</v>
      </c>
      <c r="N166" s="12">
        <f t="shared" si="6"/>
        <v>0.09571613966</v>
      </c>
      <c r="P166" s="11">
        <f t="shared" si="7"/>
        <v>38.36890624</v>
      </c>
    </row>
    <row r="167">
      <c r="A167" s="9">
        <v>41638.0</v>
      </c>
      <c r="B167" s="3" t="s">
        <v>20</v>
      </c>
      <c r="C167" s="3" t="s">
        <v>17</v>
      </c>
      <c r="D167" s="3" t="s">
        <v>21</v>
      </c>
      <c r="E167" s="4">
        <v>3.879</v>
      </c>
      <c r="F167" s="3">
        <v>40335.0</v>
      </c>
      <c r="G167" s="5">
        <v>6.459</v>
      </c>
      <c r="H167" s="4">
        <v>25.05</v>
      </c>
      <c r="I167" s="10">
        <f t="shared" si="10"/>
        <v>266</v>
      </c>
      <c r="J167" s="11">
        <f t="shared" si="9"/>
        <v>41.18284564</v>
      </c>
      <c r="K167" s="13">
        <f t="shared" si="3"/>
        <v>3860.3</v>
      </c>
      <c r="L167" s="11">
        <f t="shared" si="4"/>
        <v>1033.673</v>
      </c>
      <c r="M167" s="11">
        <f t="shared" si="5"/>
        <v>39.35225611</v>
      </c>
      <c r="N167" s="12">
        <f t="shared" si="6"/>
        <v>0.09570596256</v>
      </c>
      <c r="P167" s="11">
        <f t="shared" si="7"/>
        <v>39.21624067</v>
      </c>
    </row>
    <row r="168">
      <c r="A168" s="9">
        <v>41678.0</v>
      </c>
      <c r="B168" s="3" t="s">
        <v>20</v>
      </c>
      <c r="C168" s="3" t="s">
        <v>17</v>
      </c>
      <c r="D168" s="3" t="s">
        <v>21</v>
      </c>
      <c r="E168" s="4">
        <v>3.899</v>
      </c>
      <c r="F168" s="3">
        <v>40621.0</v>
      </c>
      <c r="G168" s="5">
        <v>7.641</v>
      </c>
      <c r="H168" s="4">
        <v>29.79</v>
      </c>
      <c r="I168" s="10">
        <f t="shared" si="10"/>
        <v>286</v>
      </c>
      <c r="J168" s="11">
        <f t="shared" si="9"/>
        <v>37.4296558</v>
      </c>
      <c r="K168" s="13">
        <f t="shared" si="3"/>
        <v>3890.09</v>
      </c>
      <c r="L168" s="11">
        <f t="shared" si="4"/>
        <v>1041.314</v>
      </c>
      <c r="M168" s="11">
        <f t="shared" si="5"/>
        <v>39.33802951</v>
      </c>
      <c r="N168" s="12">
        <f t="shared" si="6"/>
        <v>0.09576549076</v>
      </c>
      <c r="P168" s="11">
        <f t="shared" si="7"/>
        <v>39.09374829</v>
      </c>
    </row>
    <row r="169">
      <c r="A169" s="9">
        <v>41759.0</v>
      </c>
      <c r="B169" s="3" t="s">
        <v>164</v>
      </c>
      <c r="C169" s="3" t="s">
        <v>17</v>
      </c>
      <c r="D169" s="3" t="s">
        <v>134</v>
      </c>
      <c r="E169" s="4">
        <v>4.299</v>
      </c>
      <c r="F169" s="3">
        <v>40827.0</v>
      </c>
      <c r="G169" s="5">
        <v>4.364</v>
      </c>
      <c r="H169" s="4">
        <v>18.76</v>
      </c>
      <c r="I169" s="10">
        <f t="shared" si="10"/>
        <v>206</v>
      </c>
      <c r="J169" s="11">
        <f t="shared" si="9"/>
        <v>47.20439963</v>
      </c>
      <c r="K169" s="13">
        <f t="shared" si="3"/>
        <v>3908.85</v>
      </c>
      <c r="L169" s="11">
        <f t="shared" si="4"/>
        <v>1045.678</v>
      </c>
      <c r="M169" s="11">
        <f t="shared" si="5"/>
        <v>39.3711342</v>
      </c>
      <c r="N169" s="12">
        <f t="shared" si="6"/>
        <v>0.09574178852</v>
      </c>
      <c r="P169" s="11">
        <f t="shared" si="7"/>
        <v>38.81298407</v>
      </c>
      <c r="Q169" s="3" t="s">
        <v>255</v>
      </c>
    </row>
    <row r="170">
      <c r="A170" s="9">
        <v>41760.0</v>
      </c>
      <c r="B170" s="3" t="s">
        <v>162</v>
      </c>
      <c r="C170" s="3" t="s">
        <v>163</v>
      </c>
      <c r="D170" s="3" t="s">
        <v>104</v>
      </c>
      <c r="E170" s="4">
        <v>3.989</v>
      </c>
      <c r="F170" s="3">
        <v>40997.0</v>
      </c>
      <c r="G170" s="5">
        <v>7.237</v>
      </c>
      <c r="H170" s="4">
        <v>28.87</v>
      </c>
      <c r="I170" s="10">
        <f t="shared" si="10"/>
        <v>170</v>
      </c>
      <c r="J170" s="11">
        <f t="shared" si="9"/>
        <v>23.49039657</v>
      </c>
      <c r="K170" s="13">
        <f t="shared" si="3"/>
        <v>3937.72</v>
      </c>
      <c r="L170" s="11">
        <f t="shared" si="4"/>
        <v>1052.915</v>
      </c>
      <c r="M170" s="11">
        <f t="shared" si="5"/>
        <v>39.26107171</v>
      </c>
      <c r="N170" s="12">
        <f t="shared" si="6"/>
        <v>0.09604897919</v>
      </c>
      <c r="P170" s="11">
        <f t="shared" si="7"/>
        <v>35.43562153</v>
      </c>
    </row>
    <row r="171">
      <c r="A171" s="9">
        <v>41762.0</v>
      </c>
      <c r="B171" s="3" t="s">
        <v>256</v>
      </c>
      <c r="C171" s="3" t="s">
        <v>27</v>
      </c>
      <c r="D171" s="3" t="s">
        <v>21</v>
      </c>
      <c r="E171" s="4">
        <v>4.299</v>
      </c>
      <c r="F171" s="3">
        <v>41238.0</v>
      </c>
      <c r="G171" s="5">
        <v>5.66</v>
      </c>
      <c r="H171" s="4">
        <v>24.33</v>
      </c>
      <c r="I171" s="10">
        <f t="shared" si="10"/>
        <v>241</v>
      </c>
      <c r="J171" s="11">
        <f t="shared" si="9"/>
        <v>42.5795053</v>
      </c>
      <c r="K171" s="13">
        <f t="shared" si="3"/>
        <v>3962.05</v>
      </c>
      <c r="L171" s="11">
        <f t="shared" si="4"/>
        <v>1058.575</v>
      </c>
      <c r="M171" s="11">
        <f t="shared" si="5"/>
        <v>39.27896178</v>
      </c>
      <c r="N171" s="12">
        <f t="shared" si="6"/>
        <v>0.09607764683</v>
      </c>
      <c r="P171" s="11">
        <f t="shared" si="7"/>
        <v>37.00761519</v>
      </c>
    </row>
    <row r="172">
      <c r="A172" s="9">
        <v>41762.0</v>
      </c>
      <c r="B172" s="3" t="s">
        <v>257</v>
      </c>
      <c r="C172" s="3" t="s">
        <v>27</v>
      </c>
      <c r="D172" s="3" t="s">
        <v>104</v>
      </c>
      <c r="E172" s="4">
        <v>4.299</v>
      </c>
      <c r="F172" s="3">
        <v>41366.0</v>
      </c>
      <c r="G172" s="5">
        <v>1.997</v>
      </c>
      <c r="H172" s="4">
        <v>8.5</v>
      </c>
      <c r="I172" s="10">
        <f t="shared" si="10"/>
        <v>128</v>
      </c>
      <c r="J172" s="11">
        <f t="shared" si="9"/>
        <v>64.09614422</v>
      </c>
      <c r="K172" s="13">
        <f t="shared" si="3"/>
        <v>3970.55</v>
      </c>
      <c r="L172" s="11">
        <f t="shared" si="4"/>
        <v>1060.572</v>
      </c>
      <c r="M172" s="11">
        <f t="shared" si="5"/>
        <v>39.3260777</v>
      </c>
      <c r="N172" s="12">
        <f t="shared" si="6"/>
        <v>0.09598583378</v>
      </c>
      <c r="P172" s="11">
        <f t="shared" si="7"/>
        <v>38.88122789</v>
      </c>
    </row>
    <row r="173">
      <c r="A173" s="9">
        <v>41763.0</v>
      </c>
      <c r="B173" s="3" t="s">
        <v>30</v>
      </c>
      <c r="C173" s="3" t="s">
        <v>27</v>
      </c>
      <c r="D173" s="3" t="s">
        <v>104</v>
      </c>
      <c r="E173" s="4">
        <v>3.999</v>
      </c>
      <c r="F173" s="3">
        <v>41644.0</v>
      </c>
      <c r="G173" s="5">
        <v>6.26</v>
      </c>
      <c r="H173" s="4">
        <v>25.03</v>
      </c>
      <c r="I173" s="10">
        <f t="shared" si="10"/>
        <v>278</v>
      </c>
      <c r="J173" s="11">
        <f t="shared" si="9"/>
        <v>44.40894569</v>
      </c>
      <c r="K173" s="13">
        <f t="shared" si="3"/>
        <v>3995.58</v>
      </c>
      <c r="L173" s="11">
        <f t="shared" si="4"/>
        <v>1066.832</v>
      </c>
      <c r="M173" s="11">
        <f t="shared" si="5"/>
        <v>39.35614838</v>
      </c>
      <c r="N173" s="12">
        <f t="shared" si="6"/>
        <v>0.09594611469</v>
      </c>
      <c r="P173" s="11">
        <f t="shared" si="7"/>
        <v>39.4764619</v>
      </c>
    </row>
    <row r="174">
      <c r="A174" s="9">
        <v>41764.0</v>
      </c>
      <c r="B174" s="3" t="s">
        <v>175</v>
      </c>
      <c r="C174" s="3" t="s">
        <v>33</v>
      </c>
      <c r="D174" s="3" t="s">
        <v>104</v>
      </c>
      <c r="E174" s="4">
        <v>3.879</v>
      </c>
      <c r="F174" s="3">
        <v>41858.0</v>
      </c>
      <c r="G174" s="5">
        <v>4.828</v>
      </c>
      <c r="H174" s="4">
        <v>18.73</v>
      </c>
      <c r="I174" s="10">
        <f t="shared" si="10"/>
        <v>214</v>
      </c>
      <c r="J174" s="11">
        <f t="shared" si="9"/>
        <v>44.32477216</v>
      </c>
      <c r="K174" s="13">
        <f t="shared" si="3"/>
        <v>4014.31</v>
      </c>
      <c r="L174" s="11">
        <f t="shared" si="4"/>
        <v>1071.66</v>
      </c>
      <c r="M174" s="11">
        <f t="shared" si="5"/>
        <v>39.37871604</v>
      </c>
      <c r="N174" s="12">
        <f t="shared" si="6"/>
        <v>0.09590305318</v>
      </c>
      <c r="P174" s="11">
        <f t="shared" si="7"/>
        <v>40.76319779</v>
      </c>
    </row>
    <row r="175">
      <c r="A175" s="9">
        <v>41764.0</v>
      </c>
      <c r="B175" s="3" t="s">
        <v>258</v>
      </c>
      <c r="C175" s="3" t="s">
        <v>33</v>
      </c>
      <c r="D175" s="3" t="s">
        <v>138</v>
      </c>
      <c r="E175" s="4">
        <v>3.859</v>
      </c>
      <c r="F175" s="3">
        <v>42079.0</v>
      </c>
      <c r="G175" s="5">
        <v>5.442</v>
      </c>
      <c r="H175" s="4">
        <v>21.0</v>
      </c>
      <c r="I175" s="10">
        <f t="shared" si="10"/>
        <v>221</v>
      </c>
      <c r="J175" s="11">
        <f t="shared" si="9"/>
        <v>40.61006983</v>
      </c>
      <c r="K175" s="13">
        <f t="shared" si="3"/>
        <v>4035.31</v>
      </c>
      <c r="L175" s="11">
        <f t="shared" si="4"/>
        <v>1077.102</v>
      </c>
      <c r="M175" s="11">
        <f t="shared" si="5"/>
        <v>39.38498805</v>
      </c>
      <c r="N175" s="12">
        <f t="shared" si="6"/>
        <v>0.09589842915</v>
      </c>
      <c r="P175" s="11">
        <f t="shared" si="7"/>
        <v>39.84215886</v>
      </c>
    </row>
    <row r="176">
      <c r="A176" s="9">
        <v>41765.0</v>
      </c>
      <c r="B176" s="3" t="s">
        <v>259</v>
      </c>
      <c r="C176" s="3" t="s">
        <v>33</v>
      </c>
      <c r="D176" s="3" t="s">
        <v>21</v>
      </c>
      <c r="E176" s="4">
        <v>3.849</v>
      </c>
      <c r="F176" s="3">
        <v>42284.0</v>
      </c>
      <c r="G176" s="5">
        <v>5.85</v>
      </c>
      <c r="H176" s="4">
        <v>22.52</v>
      </c>
      <c r="I176" s="10">
        <f t="shared" si="10"/>
        <v>205</v>
      </c>
      <c r="J176" s="11">
        <f t="shared" si="9"/>
        <v>35.04273504</v>
      </c>
      <c r="K176" s="13">
        <f t="shared" si="3"/>
        <v>4057.83</v>
      </c>
      <c r="L176" s="11">
        <f t="shared" si="4"/>
        <v>1082.952</v>
      </c>
      <c r="M176" s="11">
        <f t="shared" si="5"/>
        <v>39.36134166</v>
      </c>
      <c r="N176" s="12">
        <f t="shared" si="6"/>
        <v>0.09596608646</v>
      </c>
      <c r="P176" s="11">
        <f t="shared" si="7"/>
        <v>42.84715518</v>
      </c>
    </row>
    <row r="177">
      <c r="A177" s="9">
        <v>41765.0</v>
      </c>
      <c r="B177" s="3" t="s">
        <v>260</v>
      </c>
      <c r="C177" s="3" t="s">
        <v>33</v>
      </c>
      <c r="D177" s="3" t="s">
        <v>84</v>
      </c>
      <c r="E177" s="4">
        <v>3.659</v>
      </c>
      <c r="F177" s="3">
        <v>42553.0</v>
      </c>
      <c r="G177" s="5">
        <v>6.998</v>
      </c>
      <c r="H177" s="4">
        <v>25.61</v>
      </c>
      <c r="I177" s="10">
        <f t="shared" si="10"/>
        <v>269</v>
      </c>
      <c r="J177" s="11">
        <f t="shared" si="9"/>
        <v>38.43955416</v>
      </c>
      <c r="K177" s="13">
        <f t="shared" si="3"/>
        <v>4083.44</v>
      </c>
      <c r="L177" s="11">
        <f t="shared" si="4"/>
        <v>1089.95</v>
      </c>
      <c r="M177" s="11">
        <f t="shared" si="5"/>
        <v>39.35537572</v>
      </c>
      <c r="N177" s="12">
        <f t="shared" si="6"/>
        <v>0.09596127183</v>
      </c>
      <c r="P177" s="11">
        <f t="shared" si="7"/>
        <v>41.9123506</v>
      </c>
    </row>
    <row r="178">
      <c r="A178" s="9">
        <v>41766.0</v>
      </c>
      <c r="B178" s="3" t="s">
        <v>261</v>
      </c>
      <c r="C178" s="3" t="s">
        <v>141</v>
      </c>
      <c r="D178" s="3" t="s">
        <v>84</v>
      </c>
      <c r="E178" s="4">
        <v>3.899</v>
      </c>
      <c r="F178" s="3">
        <v>42827.0</v>
      </c>
      <c r="G178" s="5">
        <v>6.583</v>
      </c>
      <c r="H178" s="4">
        <v>25.67</v>
      </c>
      <c r="I178" s="10">
        <f t="shared" si="10"/>
        <v>274</v>
      </c>
      <c r="J178" s="11">
        <f t="shared" si="9"/>
        <v>41.62236063</v>
      </c>
      <c r="K178" s="13">
        <f t="shared" si="3"/>
        <v>4109.11</v>
      </c>
      <c r="L178" s="11">
        <f t="shared" si="4"/>
        <v>1096.533</v>
      </c>
      <c r="M178" s="11">
        <f t="shared" si="5"/>
        <v>39.36909434</v>
      </c>
      <c r="N178" s="12">
        <f t="shared" si="6"/>
        <v>0.09594671586</v>
      </c>
      <c r="P178" s="11">
        <f t="shared" si="7"/>
        <v>40.62734629</v>
      </c>
    </row>
    <row r="179">
      <c r="A179" s="9">
        <v>41766.0</v>
      </c>
      <c r="B179" s="3" t="s">
        <v>262</v>
      </c>
      <c r="C179" s="3" t="s">
        <v>263</v>
      </c>
      <c r="D179" s="3" t="s">
        <v>21</v>
      </c>
      <c r="E179" s="4">
        <v>4.059</v>
      </c>
      <c r="F179" s="3">
        <v>43037.0</v>
      </c>
      <c r="G179" s="5">
        <v>5.216</v>
      </c>
      <c r="H179" s="4">
        <v>21.22</v>
      </c>
      <c r="I179" s="10">
        <f t="shared" si="10"/>
        <v>210</v>
      </c>
      <c r="J179" s="11">
        <f t="shared" si="9"/>
        <v>40.2607362</v>
      </c>
      <c r="K179" s="13">
        <f t="shared" si="3"/>
        <v>4130.33</v>
      </c>
      <c r="L179" s="11">
        <f t="shared" si="4"/>
        <v>1101.749</v>
      </c>
      <c r="M179" s="11">
        <f t="shared" si="5"/>
        <v>39.37334923</v>
      </c>
      <c r="N179" s="12">
        <f t="shared" si="6"/>
        <v>0.09597160583</v>
      </c>
      <c r="P179" s="11">
        <f t="shared" si="7"/>
        <v>39.89460721</v>
      </c>
    </row>
    <row r="180">
      <c r="A180" s="9">
        <v>41767.0</v>
      </c>
      <c r="B180" s="3" t="s">
        <v>264</v>
      </c>
      <c r="C180" s="3" t="s">
        <v>263</v>
      </c>
      <c r="D180" s="3" t="s">
        <v>104</v>
      </c>
      <c r="E180" s="4">
        <v>4.059</v>
      </c>
      <c r="F180" s="3">
        <v>43266.0</v>
      </c>
      <c r="G180" s="5">
        <v>6.801</v>
      </c>
      <c r="H180" s="4">
        <v>27.61</v>
      </c>
      <c r="I180" s="10">
        <f t="shared" si="10"/>
        <v>229</v>
      </c>
      <c r="J180" s="11">
        <f t="shared" si="9"/>
        <v>33.67151889</v>
      </c>
      <c r="K180" s="13">
        <f t="shared" si="3"/>
        <v>4157.94</v>
      </c>
      <c r="L180" s="11">
        <f t="shared" si="4"/>
        <v>1108.55</v>
      </c>
      <c r="M180" s="11">
        <f t="shared" si="5"/>
        <v>39.33809156</v>
      </c>
      <c r="N180" s="12">
        <f t="shared" si="6"/>
        <v>0.09610178893</v>
      </c>
      <c r="P180" s="11">
        <f t="shared" si="7"/>
        <v>38.16752507</v>
      </c>
    </row>
    <row r="181">
      <c r="A181" s="9">
        <v>41767.0</v>
      </c>
      <c r="B181" s="3" t="s">
        <v>265</v>
      </c>
      <c r="C181" s="3" t="s">
        <v>266</v>
      </c>
      <c r="D181" s="3" t="s">
        <v>21</v>
      </c>
      <c r="E181" s="4">
        <v>4.079</v>
      </c>
      <c r="F181" s="3">
        <v>43462.0</v>
      </c>
      <c r="G181" s="5">
        <v>4.613</v>
      </c>
      <c r="H181" s="4">
        <v>18.82</v>
      </c>
      <c r="I181" s="10">
        <f t="shared" si="10"/>
        <v>196</v>
      </c>
      <c r="J181" s="11">
        <f t="shared" si="9"/>
        <v>42.48861912</v>
      </c>
      <c r="K181" s="13">
        <f t="shared" si="3"/>
        <v>4176.76</v>
      </c>
      <c r="L181" s="11">
        <f t="shared" si="4"/>
        <v>1113.163</v>
      </c>
      <c r="M181" s="11">
        <f t="shared" si="5"/>
        <v>39.35125034</v>
      </c>
      <c r="N181" s="12">
        <f t="shared" si="6"/>
        <v>0.09610142193</v>
      </c>
      <c r="P181" s="11">
        <f t="shared" si="7"/>
        <v>38.35168187</v>
      </c>
    </row>
    <row r="182">
      <c r="A182" s="9">
        <v>41774.0</v>
      </c>
      <c r="B182" s="3" t="s">
        <v>267</v>
      </c>
      <c r="C182" s="3" t="s">
        <v>83</v>
      </c>
      <c r="D182" s="3" t="s">
        <v>268</v>
      </c>
      <c r="E182" s="4">
        <v>3.69</v>
      </c>
      <c r="F182" s="3">
        <v>43743.0</v>
      </c>
      <c r="G182" s="5">
        <v>7.119</v>
      </c>
      <c r="H182" s="4">
        <v>28.26</v>
      </c>
      <c r="I182" s="10">
        <f t="shared" si="10"/>
        <v>281</v>
      </c>
      <c r="J182" s="11">
        <f t="shared" si="9"/>
        <v>39.47183593</v>
      </c>
      <c r="K182" s="13">
        <f t="shared" si="3"/>
        <v>4205.02</v>
      </c>
      <c r="L182" s="11">
        <f t="shared" si="4"/>
        <v>1120.282</v>
      </c>
      <c r="M182" s="11">
        <f t="shared" si="5"/>
        <v>39.35202261</v>
      </c>
      <c r="N182" s="12">
        <f t="shared" si="6"/>
        <v>0.09613012368</v>
      </c>
      <c r="P182" s="11">
        <f t="shared" si="7"/>
        <v>39.08384677</v>
      </c>
    </row>
    <row r="183">
      <c r="A183" s="9">
        <v>41775.0</v>
      </c>
      <c r="B183" s="3" t="s">
        <v>269</v>
      </c>
      <c r="C183" s="3" t="s">
        <v>57</v>
      </c>
      <c r="D183" s="3" t="s">
        <v>270</v>
      </c>
      <c r="E183" s="4">
        <v>3.759</v>
      </c>
      <c r="F183" s="3">
        <v>44014.0</v>
      </c>
      <c r="G183" s="5">
        <v>6.437</v>
      </c>
      <c r="H183" s="4">
        <v>42.2</v>
      </c>
      <c r="I183" s="10">
        <f t="shared" si="10"/>
        <v>271</v>
      </c>
      <c r="J183" s="11">
        <f t="shared" si="9"/>
        <v>42.10035731</v>
      </c>
      <c r="K183" s="13">
        <f t="shared" si="3"/>
        <v>4247.22</v>
      </c>
      <c r="L183" s="11">
        <f t="shared" si="4"/>
        <v>1126.719</v>
      </c>
      <c r="M183" s="11">
        <f t="shared" si="5"/>
        <v>39.36784616</v>
      </c>
      <c r="N183" s="12">
        <f t="shared" si="6"/>
        <v>0.09649702367</v>
      </c>
      <c r="P183" s="11">
        <f t="shared" si="7"/>
        <v>39.734559</v>
      </c>
    </row>
    <row r="184">
      <c r="A184" s="9">
        <v>41776.0</v>
      </c>
      <c r="B184" s="3" t="s">
        <v>271</v>
      </c>
      <c r="C184" s="3" t="s">
        <v>272</v>
      </c>
      <c r="D184" s="3" t="s">
        <v>21</v>
      </c>
      <c r="E184" s="4">
        <v>3.979</v>
      </c>
      <c r="F184" s="3">
        <v>44279.0</v>
      </c>
      <c r="G184" s="5">
        <v>5.323</v>
      </c>
      <c r="H184" s="4">
        <v>21.18</v>
      </c>
      <c r="I184" s="10">
        <f t="shared" si="10"/>
        <v>265</v>
      </c>
      <c r="J184" s="11">
        <f t="shared" si="9"/>
        <v>49.78395642</v>
      </c>
      <c r="K184" s="13">
        <f t="shared" si="3"/>
        <v>4268.4</v>
      </c>
      <c r="L184" s="11">
        <f t="shared" si="4"/>
        <v>1132.042</v>
      </c>
      <c r="M184" s="11">
        <f t="shared" si="5"/>
        <v>39.41720331</v>
      </c>
      <c r="N184" s="12">
        <f t="shared" si="6"/>
        <v>0.09639784096</v>
      </c>
      <c r="P184" s="11">
        <f t="shared" si="7"/>
        <v>40.89104171</v>
      </c>
    </row>
    <row r="185">
      <c r="A185" s="9">
        <v>41776.0</v>
      </c>
      <c r="B185" s="3" t="s">
        <v>188</v>
      </c>
      <c r="C185" s="3" t="s">
        <v>67</v>
      </c>
      <c r="D185" s="3" t="s">
        <v>21</v>
      </c>
      <c r="E185" s="4">
        <v>3.989</v>
      </c>
      <c r="F185" s="3">
        <v>44566.0</v>
      </c>
      <c r="G185" s="5">
        <v>7.548</v>
      </c>
      <c r="H185" s="4">
        <v>30.11</v>
      </c>
      <c r="I185" s="10">
        <f t="shared" si="10"/>
        <v>287</v>
      </c>
      <c r="J185" s="11">
        <f t="shared" si="9"/>
        <v>38.02331744</v>
      </c>
      <c r="K185" s="13">
        <f t="shared" si="3"/>
        <v>4298.51</v>
      </c>
      <c r="L185" s="11">
        <f t="shared" si="4"/>
        <v>1139.59</v>
      </c>
      <c r="M185" s="11">
        <f t="shared" si="5"/>
        <v>39.40789997</v>
      </c>
      <c r="N185" s="12">
        <f t="shared" si="6"/>
        <v>0.09645267693</v>
      </c>
      <c r="P185" s="11">
        <f t="shared" si="7"/>
        <v>40.40590893</v>
      </c>
    </row>
    <row r="186">
      <c r="A186" s="9">
        <v>41779.0</v>
      </c>
      <c r="B186" s="3" t="s">
        <v>273</v>
      </c>
      <c r="C186" s="3" t="s">
        <v>274</v>
      </c>
      <c r="D186" s="3" t="s">
        <v>21</v>
      </c>
      <c r="E186" s="4">
        <v>4.099</v>
      </c>
      <c r="F186" s="3">
        <v>44805.0</v>
      </c>
      <c r="G186" s="5">
        <v>5.553</v>
      </c>
      <c r="H186" s="4">
        <v>22.76</v>
      </c>
      <c r="I186" s="10">
        <f t="shared" si="10"/>
        <v>239</v>
      </c>
      <c r="J186" s="11">
        <f t="shared" si="9"/>
        <v>43.03979831</v>
      </c>
      <c r="K186" s="13">
        <f t="shared" si="3"/>
        <v>4321.27</v>
      </c>
      <c r="L186" s="11">
        <f t="shared" si="4"/>
        <v>1145.143</v>
      </c>
      <c r="M186" s="11">
        <f t="shared" si="5"/>
        <v>39.42564651</v>
      </c>
      <c r="N186" s="12">
        <f t="shared" si="6"/>
        <v>0.09644615556</v>
      </c>
      <c r="P186" s="11">
        <f t="shared" si="7"/>
        <v>42.05722406</v>
      </c>
    </row>
    <row r="187">
      <c r="A187" s="9">
        <v>41781.0</v>
      </c>
      <c r="B187" s="3" t="s">
        <v>275</v>
      </c>
      <c r="C187" s="3" t="s">
        <v>276</v>
      </c>
      <c r="D187" s="3" t="s">
        <v>65</v>
      </c>
      <c r="E187" s="4">
        <v>4.099</v>
      </c>
      <c r="F187" s="3">
        <v>45085.0</v>
      </c>
      <c r="G187" s="5">
        <v>7.07</v>
      </c>
      <c r="H187" s="4">
        <v>28.98</v>
      </c>
      <c r="I187" s="10">
        <f t="shared" si="10"/>
        <v>280</v>
      </c>
      <c r="J187" s="11">
        <f t="shared" si="9"/>
        <v>39.6039604</v>
      </c>
      <c r="K187" s="13">
        <f t="shared" si="3"/>
        <v>4350.25</v>
      </c>
      <c r="L187" s="11">
        <f t="shared" si="4"/>
        <v>1152.213</v>
      </c>
      <c r="M187" s="11">
        <f t="shared" si="5"/>
        <v>39.42674897</v>
      </c>
      <c r="N187" s="12">
        <f t="shared" si="6"/>
        <v>0.0964899634</v>
      </c>
      <c r="P187" s="11">
        <f t="shared" si="7"/>
        <v>41.56209987</v>
      </c>
    </row>
    <row r="188">
      <c r="A188" s="9">
        <v>41782.0</v>
      </c>
      <c r="B188" s="3" t="s">
        <v>277</v>
      </c>
      <c r="C188" s="3" t="s">
        <v>276</v>
      </c>
      <c r="D188" s="3" t="s">
        <v>138</v>
      </c>
      <c r="E188" s="4">
        <v>3.959</v>
      </c>
      <c r="F188" s="3">
        <v>45361.0</v>
      </c>
      <c r="G188" s="5">
        <v>5.859</v>
      </c>
      <c r="H188" s="4">
        <v>23.2</v>
      </c>
      <c r="I188" s="10">
        <f t="shared" si="10"/>
        <v>276</v>
      </c>
      <c r="J188" s="11">
        <f t="shared" si="9"/>
        <v>47.10701485</v>
      </c>
      <c r="K188" s="13">
        <f t="shared" si="3"/>
        <v>4373.45</v>
      </c>
      <c r="L188" s="11">
        <f t="shared" si="4"/>
        <v>1158.072</v>
      </c>
      <c r="M188" s="11">
        <f t="shared" si="5"/>
        <v>39.46589964</v>
      </c>
      <c r="N188" s="12">
        <f t="shared" si="6"/>
        <v>0.09641432067</v>
      </c>
      <c r="P188" s="11">
        <f t="shared" si="7"/>
        <v>42.81555967</v>
      </c>
    </row>
    <row r="189">
      <c r="A189" s="18">
        <f>Canada2014!A2</f>
        <v>41783</v>
      </c>
      <c r="B189" s="14" t="str">
        <f>Canada2014!B2</f>
        <v>Timber River</v>
      </c>
      <c r="C189" s="14" t="str">
        <f>Canada2014!C2</f>
        <v>New Brunswick</v>
      </c>
      <c r="D189" s="14" t="str">
        <f>Canada2014!D2</f>
        <v>Petro-Canada</v>
      </c>
      <c r="E189" s="19">
        <f>Canada2014!K2</f>
        <v>5.035810003</v>
      </c>
      <c r="F189" s="14">
        <f>Canada2014!F2</f>
        <v>45576</v>
      </c>
      <c r="G189" s="12">
        <f>Canada2014!L2</f>
        <v>6.391377368</v>
      </c>
      <c r="H189" s="19">
        <f>Canada2014!M2</f>
        <v>32.1816</v>
      </c>
      <c r="I189" s="10">
        <f t="shared" si="10"/>
        <v>215</v>
      </c>
      <c r="J189" s="11">
        <f t="shared" si="9"/>
        <v>33.63907146</v>
      </c>
      <c r="K189" s="13">
        <f t="shared" si="3"/>
        <v>4405.6316</v>
      </c>
      <c r="L189" s="11">
        <f t="shared" si="4"/>
        <v>1164.463377</v>
      </c>
      <c r="M189" s="11">
        <f t="shared" si="5"/>
        <v>39.43367725</v>
      </c>
      <c r="N189" s="12">
        <f t="shared" si="6"/>
        <v>0.0966656047</v>
      </c>
      <c r="P189" s="11">
        <f t="shared" si="7"/>
        <v>41.38364729</v>
      </c>
    </row>
    <row r="190">
      <c r="A190" s="18">
        <f>Canada2014!A3</f>
        <v>41784</v>
      </c>
      <c r="B190" s="14" t="str">
        <f>Canada2014!B3</f>
        <v>Belle Cote</v>
      </c>
      <c r="C190" s="14" t="str">
        <f>Canada2014!C3</f>
        <v>Nova Scotia</v>
      </c>
      <c r="D190" s="14" t="str">
        <f>Canada2014!D3</f>
        <v>Caper Gas</v>
      </c>
      <c r="E190" s="19">
        <f>Canada2014!K3</f>
        <v>5.2064564</v>
      </c>
      <c r="F190" s="14">
        <f>Canada2014!F3</f>
        <v>45859</v>
      </c>
      <c r="G190" s="12">
        <f>Canada2014!L3</f>
        <v>6.645775004</v>
      </c>
      <c r="H190" s="19">
        <f>Canada2014!M3</f>
        <v>34.6012</v>
      </c>
      <c r="I190" s="10">
        <f t="shared" si="10"/>
        <v>283</v>
      </c>
      <c r="J190" s="11">
        <f t="shared" si="9"/>
        <v>42.58344585</v>
      </c>
      <c r="K190" s="13">
        <f t="shared" si="3"/>
        <v>4440.2328</v>
      </c>
      <c r="L190" s="11">
        <f t="shared" si="4"/>
        <v>1171.109152</v>
      </c>
      <c r="M190" s="11">
        <f t="shared" si="5"/>
        <v>39.45168524</v>
      </c>
      <c r="N190" s="12">
        <f t="shared" si="6"/>
        <v>0.09682358534</v>
      </c>
      <c r="P190" s="11">
        <f t="shared" si="7"/>
        <v>40.44318319</v>
      </c>
    </row>
    <row r="191">
      <c r="A191" s="18">
        <f>Canada2014!A4</f>
        <v>41784</v>
      </c>
      <c r="B191" s="14" t="str">
        <f>Canada2014!B4</f>
        <v>Sydney Mines</v>
      </c>
      <c r="C191" s="14" t="str">
        <f>Canada2014!C4</f>
        <v>Nova Scotia</v>
      </c>
      <c r="D191" s="14" t="str">
        <f>Canada2014!D4</f>
        <v>Petro-Canada</v>
      </c>
      <c r="E191" s="19">
        <f>Canada2014!K4</f>
        <v>5.209938979</v>
      </c>
      <c r="F191" s="14">
        <f>Canada2014!F4</f>
        <v>46034</v>
      </c>
      <c r="G191" s="12">
        <f>Canada2014!L4</f>
        <v>4.07353224</v>
      </c>
      <c r="H191" s="19">
        <f>Canada2014!M4</f>
        <v>21.2244</v>
      </c>
      <c r="I191" s="10">
        <f t="shared" si="10"/>
        <v>175</v>
      </c>
      <c r="J191" s="11">
        <f t="shared" si="9"/>
        <v>42.96025898</v>
      </c>
      <c r="K191" s="13">
        <f t="shared" si="3"/>
        <v>4461.4572</v>
      </c>
      <c r="L191" s="11">
        <f t="shared" si="4"/>
        <v>1175.182685</v>
      </c>
      <c r="M191" s="11">
        <f t="shared" si="5"/>
        <v>39.46393771</v>
      </c>
      <c r="N191" s="12">
        <f t="shared" si="6"/>
        <v>0.09691656602</v>
      </c>
      <c r="P191" s="11">
        <f t="shared" si="7"/>
        <v>41.24443031</v>
      </c>
    </row>
    <row r="192">
      <c r="A192" s="18">
        <f>Canada2014!A5</f>
        <v>41785</v>
      </c>
      <c r="B192" s="14" t="str">
        <f>Canada2014!B5</f>
        <v>Corner Brook</v>
      </c>
      <c r="C192" s="14" t="str">
        <f>Canada2014!C5</f>
        <v>Newfoundland</v>
      </c>
      <c r="D192" s="14" t="str">
        <f>Canada2014!D5</f>
        <v>Esso</v>
      </c>
      <c r="E192" s="19">
        <f>Canada2014!K5</f>
        <v>5.12635707</v>
      </c>
      <c r="F192" s="14">
        <f>Canada2014!F5</f>
        <v>46174</v>
      </c>
      <c r="G192" s="12">
        <f>Canada2014!L5</f>
        <v>3.544131552</v>
      </c>
      <c r="H192" s="19">
        <f>Canada2014!M5</f>
        <v>18.17</v>
      </c>
      <c r="I192" s="10">
        <f t="shared" si="10"/>
        <v>140</v>
      </c>
      <c r="J192" s="11">
        <f t="shared" si="9"/>
        <v>39.50191971</v>
      </c>
      <c r="K192" s="13">
        <f t="shared" si="3"/>
        <v>4479.6272</v>
      </c>
      <c r="L192" s="11">
        <f t="shared" si="4"/>
        <v>1178.726816</v>
      </c>
      <c r="M192" s="11">
        <f t="shared" si="5"/>
        <v>39.46405276</v>
      </c>
      <c r="N192" s="12">
        <f t="shared" si="6"/>
        <v>0.09701622558</v>
      </c>
      <c r="P192" s="11">
        <f t="shared" si="7"/>
        <v>40.76368193</v>
      </c>
    </row>
    <row r="193">
      <c r="A193" s="18">
        <f>Canada2014!A6</f>
        <v>41787</v>
      </c>
      <c r="B193" s="14" t="str">
        <f>Canada2014!B6</f>
        <v>Woody Point</v>
      </c>
      <c r="C193" s="14" t="str">
        <f>Canada2014!C6</f>
        <v>Newfoundland</v>
      </c>
      <c r="D193" s="14" t="str">
        <f>Canada2014!D6</f>
        <v>Western Petroleum</v>
      </c>
      <c r="E193" s="19">
        <f>Canada2014!K6</f>
        <v>4.917402299</v>
      </c>
      <c r="F193" s="14">
        <f>Canada2014!F6</f>
        <v>46421</v>
      </c>
      <c r="G193" s="12">
        <f>Canada2014!L6</f>
        <v>3.740939692</v>
      </c>
      <c r="H193" s="19">
        <f>Canada2014!M6</f>
        <v>18.4</v>
      </c>
      <c r="I193" s="10">
        <f t="shared" si="10"/>
        <v>247</v>
      </c>
      <c r="J193" s="11">
        <f t="shared" si="9"/>
        <v>66.02619137</v>
      </c>
      <c r="K193" s="13">
        <f t="shared" si="3"/>
        <v>4498.0272</v>
      </c>
      <c r="L193" s="11">
        <f t="shared" si="4"/>
        <v>1182.467756</v>
      </c>
      <c r="M193" s="11">
        <f t="shared" si="5"/>
        <v>39.5487095</v>
      </c>
      <c r="N193" s="12">
        <f t="shared" si="6"/>
        <v>0.09689638741</v>
      </c>
      <c r="O193" s="3" t="s">
        <v>278</v>
      </c>
      <c r="P193" s="11">
        <f t="shared" si="7"/>
        <v>44.15834675</v>
      </c>
    </row>
    <row r="194">
      <c r="A194" s="18">
        <f>Canada2014!A7</f>
        <v>41787</v>
      </c>
      <c r="B194" s="14" t="str">
        <f>Canada2014!B7</f>
        <v>Port Aux Basques</v>
      </c>
      <c r="C194" s="14" t="str">
        <f>Canada2014!C7</f>
        <v>Newfoundland</v>
      </c>
      <c r="D194" s="14" t="str">
        <f>Canada2014!D7</f>
        <v>Irving</v>
      </c>
      <c r="E194" s="19">
        <f>Canada2014!K7</f>
        <v>5.154217707</v>
      </c>
      <c r="F194" s="14">
        <f>Canada2014!F7</f>
        <v>46617</v>
      </c>
      <c r="G194" s="12">
        <f>Canada2014!L7</f>
        <v>7.119963744</v>
      </c>
      <c r="H194" s="19">
        <f>Canada2014!M7</f>
        <v>36.6988</v>
      </c>
      <c r="I194" s="10">
        <f t="shared" si="10"/>
        <v>196</v>
      </c>
      <c r="J194" s="11">
        <f t="shared" si="9"/>
        <v>27.52823007</v>
      </c>
      <c r="K194" s="13">
        <f t="shared" si="3"/>
        <v>4534.726</v>
      </c>
      <c r="L194" s="11">
        <f t="shared" si="4"/>
        <v>1189.58772</v>
      </c>
      <c r="M194" s="11">
        <f t="shared" si="5"/>
        <v>39.47623405</v>
      </c>
      <c r="N194" s="12">
        <f t="shared" si="6"/>
        <v>0.0972762297</v>
      </c>
      <c r="P194" s="11">
        <f t="shared" si="7"/>
        <v>39.85312777</v>
      </c>
    </row>
    <row r="195">
      <c r="A195" s="18">
        <f>Canada2014!A8</f>
        <v>41788</v>
      </c>
      <c r="B195" s="14" t="str">
        <f>Canada2014!B8</f>
        <v>Aulac</v>
      </c>
      <c r="C195" s="14" t="str">
        <f>Canada2014!C8</f>
        <v>New Brunswick</v>
      </c>
      <c r="D195" s="14" t="str">
        <f>Canada2014!D8</f>
        <v>Irving</v>
      </c>
      <c r="E195" s="19">
        <f>Canada2014!K8</f>
        <v>4.987053889</v>
      </c>
      <c r="F195" s="14">
        <f>Canada2014!F8</f>
        <v>46881</v>
      </c>
      <c r="G195" s="12">
        <f>Canada2014!L8</f>
        <v>5.854579864</v>
      </c>
      <c r="H195" s="19">
        <f>Canada2014!M8</f>
        <v>29.2008</v>
      </c>
      <c r="I195" s="10">
        <f t="shared" si="10"/>
        <v>264</v>
      </c>
      <c r="J195" s="11">
        <f t="shared" si="9"/>
        <v>45.09290267</v>
      </c>
      <c r="K195" s="13">
        <f t="shared" si="3"/>
        <v>4563.9268</v>
      </c>
      <c r="L195" s="11">
        <f t="shared" si="4"/>
        <v>1195.442299</v>
      </c>
      <c r="M195" s="11">
        <f t="shared" si="5"/>
        <v>39.50394287</v>
      </c>
      <c r="N195" s="12">
        <f t="shared" si="6"/>
        <v>0.09735131077</v>
      </c>
      <c r="P195" s="11">
        <f t="shared" si="7"/>
        <v>42.12541663</v>
      </c>
    </row>
    <row r="196">
      <c r="A196" s="18">
        <f>Canada2014!A9</f>
        <v>41788</v>
      </c>
      <c r="B196" s="14" t="str">
        <f>Canada2014!B9</f>
        <v>Beardsley</v>
      </c>
      <c r="C196" s="14" t="str">
        <f>Canada2014!C9</f>
        <v>New Brunswick</v>
      </c>
      <c r="D196" s="14" t="str">
        <f>Canada2014!D9</f>
        <v>Irving</v>
      </c>
      <c r="E196" s="19">
        <f>Canada2014!K9</f>
        <v>5.060188059</v>
      </c>
      <c r="F196" s="14">
        <f>Canada2014!F9</f>
        <v>47075</v>
      </c>
      <c r="G196" s="12">
        <f>Canada2014!L9</f>
        <v>6.25295124</v>
      </c>
      <c r="H196" s="19">
        <f>Canada2014!M9</f>
        <v>31.648</v>
      </c>
      <c r="I196" s="10">
        <f t="shared" si="10"/>
        <v>194</v>
      </c>
      <c r="J196" s="11">
        <f t="shared" si="9"/>
        <v>31.02534988</v>
      </c>
      <c r="K196" s="13">
        <f t="shared" si="3"/>
        <v>4595.5748</v>
      </c>
      <c r="L196" s="11">
        <f t="shared" si="4"/>
        <v>1201.695251</v>
      </c>
      <c r="M196" s="11">
        <f t="shared" si="5"/>
        <v>39.45950327</v>
      </c>
      <c r="N196" s="12">
        <f t="shared" si="6"/>
        <v>0.0976224068</v>
      </c>
      <c r="P196" s="11">
        <f t="shared" si="7"/>
        <v>39.75662364</v>
      </c>
    </row>
    <row r="197">
      <c r="A197" s="18">
        <f>Canada2014!A10</f>
        <v>41789</v>
      </c>
      <c r="B197" s="14" t="str">
        <f>Canada2014!B10</f>
        <v>St. Jean-Pont Joli</v>
      </c>
      <c r="C197" s="14" t="str">
        <f>Canada2014!C10</f>
        <v>Quebec</v>
      </c>
      <c r="D197" s="14" t="str">
        <f>Canada2014!D10</f>
        <v>Petro-Canada</v>
      </c>
      <c r="E197" s="19">
        <f>Canada2014!K10</f>
        <v>5.324864104</v>
      </c>
      <c r="F197" s="14">
        <f>Canada2014!F10</f>
        <v>47306</v>
      </c>
      <c r="G197" s="12">
        <f>Canada2014!L10</f>
        <v>5.11436992</v>
      </c>
      <c r="H197" s="19">
        <f>Canada2014!M10</f>
        <v>27.232</v>
      </c>
      <c r="I197" s="10">
        <f t="shared" si="10"/>
        <v>231</v>
      </c>
      <c r="J197" s="11">
        <f t="shared" si="9"/>
        <v>45.1668541</v>
      </c>
      <c r="K197" s="13">
        <f t="shared" si="3"/>
        <v>4622.8068</v>
      </c>
      <c r="L197" s="11">
        <f t="shared" si="4"/>
        <v>1206.809621</v>
      </c>
      <c r="M197" s="11">
        <f t="shared" si="5"/>
        <v>39.48386624</v>
      </c>
      <c r="N197" s="12">
        <f t="shared" si="6"/>
        <v>0.09772136304</v>
      </c>
      <c r="P197" s="11">
        <f t="shared" si="7"/>
        <v>40.21888176</v>
      </c>
    </row>
    <row r="198">
      <c r="A198" s="18">
        <f>Canada2014!A11</f>
        <v>41791</v>
      </c>
      <c r="B198" s="14" t="str">
        <f>Canada2014!B11</f>
        <v>Saint Lazare</v>
      </c>
      <c r="C198" s="14" t="str">
        <f>Canada2014!C11</f>
        <v>Quebec</v>
      </c>
      <c r="D198" s="14" t="str">
        <f>Canada2014!D11</f>
        <v>Esso</v>
      </c>
      <c r="E198" s="19">
        <f>Canada2014!K11</f>
        <v>5.394515694</v>
      </c>
      <c r="F198" s="14">
        <f>Canada2014!F11</f>
        <v>47553</v>
      </c>
      <c r="G198" s="12">
        <f>Canada2014!L11</f>
        <v>6.724234088</v>
      </c>
      <c r="H198" s="19">
        <f>Canada2014!M11</f>
        <v>36.2756</v>
      </c>
      <c r="I198" s="10">
        <f t="shared" si="10"/>
        <v>247</v>
      </c>
      <c r="J198" s="11">
        <f t="shared" si="9"/>
        <v>36.73280804</v>
      </c>
      <c r="K198" s="13">
        <f t="shared" si="3"/>
        <v>4659.0824</v>
      </c>
      <c r="L198" s="11">
        <f t="shared" si="4"/>
        <v>1213.533855</v>
      </c>
      <c r="M198" s="11">
        <f t="shared" si="5"/>
        <v>39.46851245</v>
      </c>
      <c r="N198" s="12">
        <f t="shared" si="6"/>
        <v>0.09797662398</v>
      </c>
      <c r="P198" s="11">
        <f t="shared" si="7"/>
        <v>39.61842367</v>
      </c>
    </row>
    <row r="199">
      <c r="A199" s="18">
        <f>Canada2014!A12</f>
        <v>41791</v>
      </c>
      <c r="B199" s="14" t="str">
        <f>Canada2014!B12</f>
        <v>North Bay</v>
      </c>
      <c r="C199" s="14" t="str">
        <f>Canada2014!C12</f>
        <v>Ontario</v>
      </c>
      <c r="D199" s="14" t="str">
        <f>Canada2014!D12</f>
        <v>Shell</v>
      </c>
      <c r="E199" s="19">
        <f>Canada2014!K12</f>
        <v>5.185560922</v>
      </c>
      <c r="F199" s="14">
        <f>Canada2014!F12</f>
        <v>47855</v>
      </c>
      <c r="G199" s="12">
        <f>Canada2014!L12</f>
        <v>7.00584144</v>
      </c>
      <c r="H199" s="19">
        <f>Canada2014!M12</f>
        <v>36.3308</v>
      </c>
      <c r="I199" s="10">
        <f t="shared" si="10"/>
        <v>302</v>
      </c>
      <c r="J199" s="11">
        <f t="shared" si="9"/>
        <v>43.10688482</v>
      </c>
      <c r="K199" s="13">
        <f t="shared" si="3"/>
        <v>4695.4132</v>
      </c>
      <c r="L199" s="11">
        <f t="shared" si="4"/>
        <v>1220.539696</v>
      </c>
      <c r="M199" s="11">
        <f t="shared" si="5"/>
        <v>39.48954647</v>
      </c>
      <c r="N199" s="12">
        <f t="shared" si="6"/>
        <v>0.09811750496</v>
      </c>
      <c r="P199" s="11">
        <f t="shared" si="7"/>
        <v>37.66553501</v>
      </c>
    </row>
    <row r="200">
      <c r="A200" s="18">
        <f>Canada2014!A13</f>
        <v>41792</v>
      </c>
      <c r="B200" s="14" t="str">
        <f>Canada2014!B13</f>
        <v>Sault St. Marie</v>
      </c>
      <c r="C200" s="14" t="str">
        <f>Canada2014!C13</f>
        <v>Ontario</v>
      </c>
      <c r="D200" s="14" t="str">
        <f>Canada2014!D13</f>
        <v>Husky</v>
      </c>
      <c r="E200" s="19">
        <f>Canada2014!K13</f>
        <v>5.42934149</v>
      </c>
      <c r="F200" s="14">
        <f>Canada2014!F13</f>
        <v>48114</v>
      </c>
      <c r="G200" s="12">
        <f>Canada2014!L13</f>
        <v>5.952851848</v>
      </c>
      <c r="H200" s="19">
        <f>Canada2014!M13</f>
        <v>32.3196</v>
      </c>
      <c r="I200" s="10">
        <f t="shared" si="10"/>
        <v>259</v>
      </c>
      <c r="J200" s="11">
        <f t="shared" si="9"/>
        <v>43.50855802</v>
      </c>
      <c r="K200" s="13">
        <f t="shared" si="3"/>
        <v>4727.7328</v>
      </c>
      <c r="L200" s="11">
        <f t="shared" si="4"/>
        <v>1226.492548</v>
      </c>
      <c r="M200" s="11">
        <f t="shared" si="5"/>
        <v>39.50919233</v>
      </c>
      <c r="N200" s="12">
        <f t="shared" si="6"/>
        <v>0.09826106331</v>
      </c>
      <c r="P200" s="11">
        <f t="shared" si="7"/>
        <v>40.56379788</v>
      </c>
    </row>
    <row r="201">
      <c r="A201" s="18">
        <f>Canada2014!A14</f>
        <v>41793</v>
      </c>
      <c r="B201" s="14" t="str">
        <f>Canada2014!B14</f>
        <v>Wawa</v>
      </c>
      <c r="C201" s="14" t="str">
        <f>Canada2014!C14</f>
        <v>Ontario</v>
      </c>
      <c r="D201" s="14" t="str">
        <f>Canada2014!D14</f>
        <v>Petro-Canada</v>
      </c>
      <c r="E201" s="19">
        <f>Canada2014!K14</f>
        <v>5.673122057</v>
      </c>
      <c r="F201" s="14">
        <f>Canada2014!F14</f>
        <v>48266</v>
      </c>
      <c r="G201" s="12">
        <f>Canada2014!L14</f>
        <v>3.509789192</v>
      </c>
      <c r="H201" s="19">
        <f>Canada2014!M14</f>
        <v>19.9088</v>
      </c>
      <c r="I201" s="10">
        <f t="shared" si="10"/>
        <v>152</v>
      </c>
      <c r="J201" s="11">
        <f t="shared" si="9"/>
        <v>43.30744432</v>
      </c>
      <c r="K201" s="13">
        <f t="shared" si="3"/>
        <v>4747.6416</v>
      </c>
      <c r="L201" s="11">
        <f t="shared" si="4"/>
        <v>1230.002337</v>
      </c>
      <c r="M201" s="11">
        <f t="shared" si="5"/>
        <v>39.52010778</v>
      </c>
      <c r="N201" s="12">
        <f t="shared" si="6"/>
        <v>0.09836409895</v>
      </c>
      <c r="P201" s="11">
        <f t="shared" si="7"/>
        <v>40.07518773</v>
      </c>
    </row>
    <row r="202">
      <c r="A202" s="18">
        <f>Canada2014!A15</f>
        <v>41793</v>
      </c>
      <c r="B202" s="14" t="str">
        <f>Canada2014!B15</f>
        <v>Shuniah</v>
      </c>
      <c r="C202" s="14" t="str">
        <f>Canada2014!C15</f>
        <v>Ontario</v>
      </c>
      <c r="D202" s="14" t="str">
        <f>Canada2014!D15</f>
        <v>Flying J</v>
      </c>
      <c r="E202" s="19">
        <f>Canada2014!K15</f>
        <v>5.394515694</v>
      </c>
      <c r="F202" s="14">
        <f>Canada2014!F15</f>
        <v>48526</v>
      </c>
      <c r="G202" s="12">
        <f>Canada2014!L15</f>
        <v>6.026555836</v>
      </c>
      <c r="H202" s="19">
        <f>Canada2014!M15</f>
        <v>32.5128</v>
      </c>
      <c r="I202" s="10">
        <f t="shared" si="10"/>
        <v>260</v>
      </c>
      <c r="J202" s="11">
        <f t="shared" si="9"/>
        <v>43.14238631</v>
      </c>
      <c r="K202" s="13">
        <f t="shared" si="3"/>
        <v>4780.1544</v>
      </c>
      <c r="L202" s="11">
        <f t="shared" si="4"/>
        <v>1236.028893</v>
      </c>
      <c r="M202" s="11">
        <f t="shared" si="5"/>
        <v>39.53789426</v>
      </c>
      <c r="N202" s="12">
        <f t="shared" si="6"/>
        <v>0.09850707662</v>
      </c>
      <c r="P202" s="11">
        <f t="shared" si="7"/>
        <v>42.26175558</v>
      </c>
    </row>
    <row r="203">
      <c r="A203" s="18">
        <f>Canada2014!A16</f>
        <v>41794</v>
      </c>
      <c r="B203" s="14" t="str">
        <f>Canada2014!B16</f>
        <v>Dryden</v>
      </c>
      <c r="C203" s="14" t="str">
        <f>Canada2014!C16</f>
        <v>Ontario</v>
      </c>
      <c r="D203" s="14" t="str">
        <f>Canada2014!D16</f>
        <v>Petro-Canada</v>
      </c>
      <c r="E203" s="19">
        <f>Canada2014!K16</f>
        <v>5.324864104</v>
      </c>
      <c r="F203" s="14">
        <f>Canada2014!F16</f>
        <v>48778</v>
      </c>
      <c r="G203" s="12">
        <f>Canada2014!L16</f>
        <v>6.40352928</v>
      </c>
      <c r="H203" s="19">
        <f>Canada2014!M16</f>
        <v>34.0952</v>
      </c>
      <c r="I203" s="10">
        <f t="shared" si="10"/>
        <v>252</v>
      </c>
      <c r="J203" s="11">
        <f t="shared" si="9"/>
        <v>39.35329862</v>
      </c>
      <c r="K203" s="13">
        <f t="shared" si="3"/>
        <v>4814.2496</v>
      </c>
      <c r="L203" s="11">
        <f t="shared" si="4"/>
        <v>1242.432422</v>
      </c>
      <c r="M203" s="11">
        <f t="shared" si="5"/>
        <v>39.53693614</v>
      </c>
      <c r="N203" s="12">
        <f t="shared" si="6"/>
        <v>0.09869715035</v>
      </c>
      <c r="P203" s="11">
        <f t="shared" si="7"/>
        <v>41.3218481</v>
      </c>
    </row>
    <row r="204">
      <c r="A204" s="18">
        <f>Canada2014!A17</f>
        <v>41795</v>
      </c>
      <c r="B204" s="14" t="str">
        <f>Canada2014!B17</f>
        <v>Brandon</v>
      </c>
      <c r="C204" s="14" t="str">
        <f>Canada2014!C17</f>
        <v>Manitoba</v>
      </c>
      <c r="D204" s="14" t="str">
        <f>Canada2014!D17</f>
        <v>Shell</v>
      </c>
      <c r="E204" s="19">
        <f>Canada2014!K17</f>
        <v>5.115909332</v>
      </c>
      <c r="F204" s="14">
        <f>Canada2014!F17</f>
        <v>49122</v>
      </c>
      <c r="G204" s="12">
        <f>Canada2014!L17</f>
        <v>7.060525044</v>
      </c>
      <c r="H204" s="19">
        <f>Canada2014!M17</f>
        <v>36.1192</v>
      </c>
      <c r="I204" s="10">
        <f t="shared" si="10"/>
        <v>344</v>
      </c>
      <c r="J204" s="11">
        <f t="shared" si="9"/>
        <v>48.7215891</v>
      </c>
      <c r="K204" s="13">
        <f t="shared" si="3"/>
        <v>4850.3688</v>
      </c>
      <c r="L204" s="11">
        <f t="shared" si="4"/>
        <v>1249.492947</v>
      </c>
      <c r="M204" s="11">
        <f t="shared" si="5"/>
        <v>39.58919988</v>
      </c>
      <c r="N204" s="12">
        <f t="shared" si="6"/>
        <v>0.09874127275</v>
      </c>
      <c r="P204" s="11">
        <f t="shared" si="7"/>
        <v>43.63291409</v>
      </c>
    </row>
    <row r="205">
      <c r="A205" s="18">
        <f>Canada2014!A18</f>
        <v>41796</v>
      </c>
      <c r="B205" s="14" t="str">
        <f>Canada2014!B18</f>
        <v>Regina</v>
      </c>
      <c r="C205" s="14" t="str">
        <f>Canada2014!C18</f>
        <v>Saskatchwan</v>
      </c>
      <c r="D205" s="14" t="str">
        <f>Canada2014!D18</f>
        <v>Shell</v>
      </c>
      <c r="E205" s="19">
        <f>Canada2014!K18</f>
        <v>5.185560922</v>
      </c>
      <c r="F205" s="14">
        <f>Canada2014!F18</f>
        <v>49344</v>
      </c>
      <c r="G205" s="12">
        <f>Canada2014!L18</f>
        <v>5.836087824</v>
      </c>
      <c r="H205" s="19">
        <f>Canada2014!M18</f>
        <v>30.2588</v>
      </c>
      <c r="I205" s="10">
        <f t="shared" si="10"/>
        <v>222</v>
      </c>
      <c r="J205" s="11">
        <f t="shared" si="9"/>
        <v>38.03918082</v>
      </c>
      <c r="K205" s="13">
        <f t="shared" si="3"/>
        <v>4880.6276</v>
      </c>
      <c r="L205" s="11">
        <f t="shared" si="4"/>
        <v>1255.329035</v>
      </c>
      <c r="M205" s="11">
        <f t="shared" si="5"/>
        <v>39.58194347</v>
      </c>
      <c r="N205" s="12">
        <f t="shared" si="6"/>
        <v>0.09891025454</v>
      </c>
      <c r="P205" s="11">
        <f t="shared" si="7"/>
        <v>42.80046824</v>
      </c>
    </row>
    <row r="206">
      <c r="A206" s="18">
        <f>Canada2014!A19</f>
        <v>41796</v>
      </c>
      <c r="B206" s="14" t="str">
        <f>Canada2014!B19</f>
        <v>Maple Creek</v>
      </c>
      <c r="C206" s="14" t="str">
        <f>Canada2014!C19</f>
        <v>Saskatchwan</v>
      </c>
      <c r="D206" s="14" t="str">
        <f>Canada2014!D19</f>
        <v>Esso</v>
      </c>
      <c r="E206" s="19">
        <f>Canada2014!K19</f>
        <v>5.150735127</v>
      </c>
      <c r="F206" s="14">
        <f>Canada2014!F19</f>
        <v>49574</v>
      </c>
      <c r="G206" s="12">
        <f>Canada2014!L19</f>
        <v>6.633887264</v>
      </c>
      <c r="H206" s="19">
        <f>Canada2014!M19</f>
        <v>34.1688</v>
      </c>
      <c r="I206" s="10">
        <f t="shared" si="10"/>
        <v>230</v>
      </c>
      <c r="J206" s="11">
        <f t="shared" si="9"/>
        <v>34.6704716</v>
      </c>
      <c r="K206" s="13">
        <f t="shared" si="3"/>
        <v>4914.7964</v>
      </c>
      <c r="L206" s="11">
        <f t="shared" si="4"/>
        <v>1261.962922</v>
      </c>
      <c r="M206" s="11">
        <f t="shared" si="5"/>
        <v>39.55594561</v>
      </c>
      <c r="N206" s="12">
        <f t="shared" si="6"/>
        <v>0.09914060596</v>
      </c>
      <c r="P206" s="11">
        <f t="shared" si="7"/>
        <v>41.16111045</v>
      </c>
    </row>
    <row r="207">
      <c r="A207" s="18">
        <f>Canada2014!A20</f>
        <v>41797</v>
      </c>
      <c r="B207" s="14" t="str">
        <f>Canada2014!B20</f>
        <v>Blairmore</v>
      </c>
      <c r="C207" s="14" t="str">
        <f>Canada2014!C20</f>
        <v>Alberta</v>
      </c>
      <c r="D207" s="14" t="str">
        <f>Canada2014!D20</f>
        <v>Shell</v>
      </c>
      <c r="E207" s="19">
        <f>Canada2014!K20</f>
        <v>5.046257741</v>
      </c>
      <c r="F207" s="14">
        <f>Canada2014!F20</f>
        <v>49822</v>
      </c>
      <c r="G207" s="12">
        <f>Canada2014!L20</f>
        <v>6.01783816</v>
      </c>
      <c r="H207" s="19">
        <f>Canada2014!M20</f>
        <v>30.36</v>
      </c>
      <c r="I207" s="10">
        <f t="shared" si="10"/>
        <v>248</v>
      </c>
      <c r="J207" s="11">
        <f t="shared" si="9"/>
        <v>41.21081249</v>
      </c>
      <c r="K207" s="13">
        <f t="shared" si="3"/>
        <v>4945.1564</v>
      </c>
      <c r="L207" s="11">
        <f t="shared" si="4"/>
        <v>1267.980761</v>
      </c>
      <c r="M207" s="11">
        <f t="shared" si="5"/>
        <v>39.56385388</v>
      </c>
      <c r="N207" s="12">
        <f t="shared" si="6"/>
        <v>0.09925648107</v>
      </c>
      <c r="P207" s="11">
        <f t="shared" si="7"/>
        <v>40.97063175</v>
      </c>
    </row>
    <row r="208">
      <c r="A208" s="9">
        <v>41798.0</v>
      </c>
      <c r="B208" s="3" t="s">
        <v>279</v>
      </c>
      <c r="C208" s="3" t="s">
        <v>217</v>
      </c>
      <c r="D208" s="3" t="s">
        <v>50</v>
      </c>
      <c r="E208" s="4">
        <v>4.049</v>
      </c>
      <c r="F208" s="3">
        <v>50095.0</v>
      </c>
      <c r="G208" s="5">
        <v>6.18</v>
      </c>
      <c r="H208" s="4">
        <v>25.02</v>
      </c>
      <c r="I208" s="10">
        <f t="shared" si="10"/>
        <v>273</v>
      </c>
      <c r="J208" s="11">
        <f t="shared" si="9"/>
        <v>44.17475728</v>
      </c>
      <c r="K208" s="13">
        <f t="shared" si="3"/>
        <v>4970.1764</v>
      </c>
      <c r="L208" s="11">
        <f t="shared" si="4"/>
        <v>1274.160761</v>
      </c>
      <c r="M208" s="11">
        <f t="shared" si="5"/>
        <v>39.58637167</v>
      </c>
      <c r="N208" s="12">
        <f t="shared" si="6"/>
        <v>0.09921501946</v>
      </c>
      <c r="P208" s="11">
        <f t="shared" si="7"/>
        <v>41.14668648</v>
      </c>
    </row>
    <row r="209">
      <c r="A209" s="9">
        <v>41799.0</v>
      </c>
      <c r="B209" s="3" t="s">
        <v>72</v>
      </c>
      <c r="C209" s="3" t="s">
        <v>232</v>
      </c>
      <c r="D209" s="3" t="s">
        <v>280</v>
      </c>
      <c r="E209" s="4">
        <v>4.179</v>
      </c>
      <c r="F209" s="3">
        <v>50379.0</v>
      </c>
      <c r="G209" s="5">
        <v>6.604</v>
      </c>
      <c r="H209" s="4">
        <v>27.6</v>
      </c>
      <c r="I209" s="10">
        <f t="shared" si="10"/>
        <v>284</v>
      </c>
      <c r="J209" s="11">
        <f t="shared" si="9"/>
        <v>43.00423985</v>
      </c>
      <c r="K209" s="13">
        <f t="shared" si="3"/>
        <v>4997.7764</v>
      </c>
      <c r="L209" s="11">
        <f t="shared" si="4"/>
        <v>1280.764761</v>
      </c>
      <c r="M209" s="11">
        <f t="shared" si="5"/>
        <v>39.60411573</v>
      </c>
      <c r="N209" s="12">
        <f t="shared" si="6"/>
        <v>0.09920356498</v>
      </c>
      <c r="P209" s="11">
        <f t="shared" si="7"/>
        <v>41.76630154</v>
      </c>
    </row>
    <row r="210">
      <c r="A210" s="9">
        <v>41800.0</v>
      </c>
      <c r="B210" s="3" t="s">
        <v>281</v>
      </c>
      <c r="C210" s="3" t="s">
        <v>230</v>
      </c>
      <c r="D210" s="3" t="s">
        <v>21</v>
      </c>
      <c r="E210" s="4">
        <v>4.189</v>
      </c>
      <c r="F210" s="3">
        <v>50572.0</v>
      </c>
      <c r="G210" s="5">
        <v>3.503</v>
      </c>
      <c r="H210" s="4">
        <v>14.67</v>
      </c>
      <c r="I210" s="10">
        <f t="shared" si="10"/>
        <v>193</v>
      </c>
      <c r="J210" s="11">
        <f t="shared" si="9"/>
        <v>55.09563232</v>
      </c>
      <c r="K210" s="13">
        <f t="shared" si="3"/>
        <v>5012.4464</v>
      </c>
      <c r="L210" s="11">
        <f t="shared" si="4"/>
        <v>1284.267761</v>
      </c>
      <c r="M210" s="11">
        <f t="shared" si="5"/>
        <v>39.64665897</v>
      </c>
      <c r="N210" s="12">
        <f t="shared" si="6"/>
        <v>0.09911505181</v>
      </c>
      <c r="P210" s="11">
        <f t="shared" si="7"/>
        <v>41.69684506</v>
      </c>
    </row>
    <row r="211">
      <c r="A211" s="9">
        <v>41800.0</v>
      </c>
      <c r="B211" s="3" t="s">
        <v>282</v>
      </c>
      <c r="C211" s="3" t="s">
        <v>17</v>
      </c>
      <c r="D211" s="3" t="s">
        <v>104</v>
      </c>
      <c r="E211" s="4">
        <v>4.499</v>
      </c>
      <c r="F211" s="3">
        <v>50825.0</v>
      </c>
      <c r="G211" s="5">
        <v>5.854</v>
      </c>
      <c r="H211" s="4">
        <v>26.34</v>
      </c>
      <c r="I211" s="10">
        <f t="shared" si="10"/>
        <v>253</v>
      </c>
      <c r="J211" s="11">
        <f t="shared" si="9"/>
        <v>43.21831227</v>
      </c>
      <c r="K211" s="13">
        <f t="shared" si="3"/>
        <v>5038.7864</v>
      </c>
      <c r="L211" s="11">
        <f t="shared" si="4"/>
        <v>1290.121761</v>
      </c>
      <c r="M211" s="11">
        <f t="shared" si="5"/>
        <v>39.66297558</v>
      </c>
      <c r="N211" s="12">
        <f t="shared" si="6"/>
        <v>0.09913991933</v>
      </c>
      <c r="P211" s="11">
        <f t="shared" si="7"/>
        <v>42.56636932</v>
      </c>
    </row>
    <row r="212">
      <c r="A212" s="9">
        <v>41801.0</v>
      </c>
      <c r="B212" s="3" t="s">
        <v>190</v>
      </c>
      <c r="C212" s="3" t="s">
        <v>17</v>
      </c>
      <c r="D212" s="3" t="s">
        <v>21</v>
      </c>
      <c r="E212" s="4">
        <v>5.299</v>
      </c>
      <c r="F212" s="3">
        <v>51119.0</v>
      </c>
      <c r="G212" s="5">
        <v>6.246</v>
      </c>
      <c r="H212" s="4">
        <v>33.1</v>
      </c>
      <c r="I212" s="10">
        <f t="shared" si="10"/>
        <v>294</v>
      </c>
      <c r="J212" s="11">
        <f t="shared" si="9"/>
        <v>47.07012488</v>
      </c>
      <c r="K212" s="13">
        <f t="shared" si="3"/>
        <v>5071.8864</v>
      </c>
      <c r="L212" s="11">
        <f t="shared" si="4"/>
        <v>1296.367761</v>
      </c>
      <c r="M212" s="11">
        <f t="shared" si="5"/>
        <v>39.69890492</v>
      </c>
      <c r="N212" s="12">
        <f t="shared" si="6"/>
        <v>0.09921724603</v>
      </c>
      <c r="P212" s="11">
        <f t="shared" si="7"/>
        <v>44.90647486</v>
      </c>
    </row>
    <row r="213">
      <c r="A213" s="9">
        <v>41802.0</v>
      </c>
      <c r="B213" s="3" t="s">
        <v>283</v>
      </c>
      <c r="C213" s="3" t="s">
        <v>17</v>
      </c>
      <c r="D213" s="3" t="s">
        <v>21</v>
      </c>
      <c r="E213" s="4">
        <v>4.359</v>
      </c>
      <c r="F213" s="3">
        <v>51402.0</v>
      </c>
      <c r="G213" s="5">
        <v>7.52</v>
      </c>
      <c r="H213" s="4">
        <v>32.78</v>
      </c>
      <c r="I213" s="10">
        <f t="shared" si="10"/>
        <v>283</v>
      </c>
      <c r="J213" s="11">
        <f t="shared" si="9"/>
        <v>37.63297872</v>
      </c>
      <c r="K213" s="13">
        <f t="shared" si="3"/>
        <v>5104.6664</v>
      </c>
      <c r="L213" s="11">
        <f t="shared" si="4"/>
        <v>1303.887761</v>
      </c>
      <c r="M213" s="11">
        <f t="shared" si="5"/>
        <v>39.68690993</v>
      </c>
      <c r="N213" s="12">
        <f t="shared" si="6"/>
        <v>0.09930871172</v>
      </c>
      <c r="P213" s="11">
        <f t="shared" si="7"/>
        <v>44.00256217</v>
      </c>
    </row>
    <row r="214">
      <c r="A214" s="9">
        <v>41850.0</v>
      </c>
      <c r="B214" s="3" t="s">
        <v>171</v>
      </c>
      <c r="C214" s="3" t="s">
        <v>17</v>
      </c>
      <c r="D214" s="3" t="s">
        <v>21</v>
      </c>
      <c r="E214" s="4">
        <v>4.159</v>
      </c>
      <c r="F214" s="3">
        <v>51638.0</v>
      </c>
      <c r="G214" s="3">
        <v>5.654</v>
      </c>
      <c r="H214" s="4">
        <v>23.51</v>
      </c>
      <c r="I214" s="10">
        <f t="shared" si="10"/>
        <v>236</v>
      </c>
      <c r="J214" s="11">
        <f t="shared" si="9"/>
        <v>41.74036081</v>
      </c>
      <c r="K214" s="13">
        <f t="shared" si="3"/>
        <v>5128.1764</v>
      </c>
      <c r="L214" s="11">
        <f t="shared" si="4"/>
        <v>1309.541761</v>
      </c>
      <c r="M214" s="11">
        <f t="shared" si="5"/>
        <v>39.69583508</v>
      </c>
      <c r="N214" s="12">
        <f t="shared" si="6"/>
        <v>0.0993101282</v>
      </c>
      <c r="P214" s="11">
        <f t="shared" si="7"/>
        <v>43.61097764</v>
      </c>
    </row>
    <row r="215">
      <c r="A215" s="9">
        <v>41851.0</v>
      </c>
      <c r="B215" s="3" t="s">
        <v>171</v>
      </c>
      <c r="C215" s="3" t="s">
        <v>17</v>
      </c>
      <c r="D215" s="3" t="s">
        <v>21</v>
      </c>
      <c r="E215" s="4">
        <v>4.159</v>
      </c>
      <c r="F215" s="3">
        <v>51822.0</v>
      </c>
      <c r="G215" s="3">
        <v>4.826</v>
      </c>
      <c r="H215" s="4">
        <v>20.07</v>
      </c>
      <c r="I215" s="10">
        <f t="shared" si="10"/>
        <v>184</v>
      </c>
      <c r="J215" s="11">
        <f t="shared" si="9"/>
        <v>38.1268131</v>
      </c>
      <c r="K215" s="13">
        <f t="shared" si="3"/>
        <v>5148.2464</v>
      </c>
      <c r="L215" s="11">
        <f t="shared" si="4"/>
        <v>1314.367761</v>
      </c>
      <c r="M215" s="11">
        <f t="shared" si="5"/>
        <v>39.69003568</v>
      </c>
      <c r="N215" s="12">
        <f t="shared" si="6"/>
        <v>0.09934480337</v>
      </c>
      <c r="P215" s="11">
        <f t="shared" si="7"/>
        <v>42.94259441</v>
      </c>
    </row>
    <row r="216">
      <c r="A216" s="9">
        <v>41852.0</v>
      </c>
      <c r="B216" s="3" t="s">
        <v>101</v>
      </c>
      <c r="C216" s="3" t="s">
        <v>27</v>
      </c>
      <c r="D216" s="3" t="s">
        <v>102</v>
      </c>
      <c r="E216" s="4">
        <v>3.939</v>
      </c>
      <c r="F216" s="3">
        <v>52080.0</v>
      </c>
      <c r="G216" s="3">
        <v>7.002</v>
      </c>
      <c r="H216" s="4">
        <v>27.58</v>
      </c>
      <c r="I216" s="10">
        <f t="shared" si="10"/>
        <v>258</v>
      </c>
      <c r="J216" s="11">
        <f t="shared" si="9"/>
        <v>36.84661525</v>
      </c>
      <c r="K216" s="13">
        <f t="shared" si="3"/>
        <v>5175.8264</v>
      </c>
      <c r="L216" s="11">
        <f t="shared" si="4"/>
        <v>1321.369761</v>
      </c>
      <c r="M216" s="11">
        <f t="shared" si="5"/>
        <v>39.6748684</v>
      </c>
      <c r="N216" s="12">
        <f t="shared" si="6"/>
        <v>0.09938222734</v>
      </c>
      <c r="P216" s="11">
        <f t="shared" si="7"/>
        <v>40.64470918</v>
      </c>
    </row>
    <row r="217">
      <c r="A217" s="9">
        <v>41852.0</v>
      </c>
      <c r="B217" s="3" t="s">
        <v>173</v>
      </c>
      <c r="C217" s="3" t="s">
        <v>27</v>
      </c>
      <c r="D217" s="3" t="s">
        <v>284</v>
      </c>
      <c r="E217" s="4">
        <v>3.499</v>
      </c>
      <c r="F217" s="3">
        <v>52256.0</v>
      </c>
      <c r="G217" s="5">
        <v>5.4</v>
      </c>
      <c r="H217" s="4">
        <v>18.89</v>
      </c>
      <c r="I217" s="10">
        <f t="shared" si="10"/>
        <v>176</v>
      </c>
      <c r="J217" s="11">
        <f t="shared" si="9"/>
        <v>32.59259259</v>
      </c>
      <c r="K217" s="13">
        <f t="shared" si="3"/>
        <v>5194.7164</v>
      </c>
      <c r="L217" s="11">
        <f t="shared" si="4"/>
        <v>1326.769761</v>
      </c>
      <c r="M217" s="11">
        <f t="shared" si="5"/>
        <v>39.64585302</v>
      </c>
      <c r="N217" s="12">
        <f t="shared" si="6"/>
        <v>0.09940899418</v>
      </c>
      <c r="P217" s="11">
        <f t="shared" si="7"/>
        <v>39.04715128</v>
      </c>
    </row>
    <row r="218">
      <c r="A218" s="9">
        <v>41853.0</v>
      </c>
      <c r="B218" s="3" t="s">
        <v>174</v>
      </c>
      <c r="C218" s="3" t="s">
        <v>97</v>
      </c>
      <c r="D218" s="3" t="s">
        <v>134</v>
      </c>
      <c r="E218" s="4">
        <v>3.579</v>
      </c>
      <c r="F218" s="3">
        <v>52509.0</v>
      </c>
      <c r="G218" s="5">
        <v>6.919</v>
      </c>
      <c r="H218" s="4">
        <v>24.67</v>
      </c>
      <c r="I218" s="10">
        <f t="shared" si="10"/>
        <v>253</v>
      </c>
      <c r="J218" s="11">
        <f t="shared" si="9"/>
        <v>36.56597774</v>
      </c>
      <c r="K218" s="13">
        <f t="shared" si="3"/>
        <v>5219.3864</v>
      </c>
      <c r="L218" s="11">
        <f t="shared" si="4"/>
        <v>1333.688761</v>
      </c>
      <c r="M218" s="11">
        <f t="shared" si="5"/>
        <v>39.62977012</v>
      </c>
      <c r="N218" s="12">
        <f t="shared" si="6"/>
        <v>0.09939984384</v>
      </c>
      <c r="P218" s="11">
        <f t="shared" si="7"/>
        <v>37.24444683</v>
      </c>
    </row>
    <row r="219">
      <c r="A219" s="9">
        <v>41853.0</v>
      </c>
      <c r="B219" s="3" t="s">
        <v>175</v>
      </c>
      <c r="C219" s="3" t="s">
        <v>33</v>
      </c>
      <c r="D219" s="3" t="s">
        <v>84</v>
      </c>
      <c r="E219" s="4">
        <v>3.799</v>
      </c>
      <c r="F219" s="3">
        <v>52675.0</v>
      </c>
      <c r="G219" s="5">
        <v>4.265</v>
      </c>
      <c r="H219" s="4">
        <v>16.2</v>
      </c>
      <c r="I219" s="10">
        <f t="shared" si="10"/>
        <v>166</v>
      </c>
      <c r="J219" s="11">
        <f t="shared" si="9"/>
        <v>38.92145369</v>
      </c>
      <c r="K219" s="13">
        <f t="shared" si="3"/>
        <v>5235.5864</v>
      </c>
      <c r="L219" s="11">
        <f t="shared" si="4"/>
        <v>1337.953761</v>
      </c>
      <c r="M219" s="11">
        <f t="shared" si="5"/>
        <v>39.62749744</v>
      </c>
      <c r="N219" s="12">
        <f t="shared" si="6"/>
        <v>0.09939414143</v>
      </c>
      <c r="P219" s="11">
        <f t="shared" si="7"/>
        <v>37.36863735</v>
      </c>
    </row>
    <row r="220">
      <c r="A220" s="9">
        <v>41854.0</v>
      </c>
      <c r="B220" s="3" t="s">
        <v>176</v>
      </c>
      <c r="C220" s="3" t="s">
        <v>33</v>
      </c>
      <c r="D220" s="3" t="s">
        <v>104</v>
      </c>
      <c r="E220" s="4">
        <v>3.759</v>
      </c>
      <c r="F220" s="3">
        <v>52930.0</v>
      </c>
      <c r="G220" s="5">
        <v>7.232</v>
      </c>
      <c r="H220" s="4">
        <v>27.19</v>
      </c>
      <c r="I220" s="10">
        <f t="shared" si="10"/>
        <v>255</v>
      </c>
      <c r="J220" s="11">
        <f t="shared" si="9"/>
        <v>35.25995575</v>
      </c>
      <c r="K220" s="13">
        <f t="shared" si="3"/>
        <v>5262.7764</v>
      </c>
      <c r="L220" s="11">
        <f t="shared" si="4"/>
        <v>1345.185761</v>
      </c>
      <c r="M220" s="11">
        <f t="shared" si="5"/>
        <v>39.60386377</v>
      </c>
      <c r="N220" s="12">
        <f t="shared" si="6"/>
        <v>0.09942898923</v>
      </c>
      <c r="P220" s="11">
        <f t="shared" si="7"/>
        <v>36.24733475</v>
      </c>
      <c r="R220" s="11"/>
    </row>
    <row r="221">
      <c r="A221" s="9">
        <v>41857.0</v>
      </c>
      <c r="B221" s="3" t="s">
        <v>178</v>
      </c>
      <c r="C221" s="3" t="s">
        <v>33</v>
      </c>
      <c r="D221" s="3" t="s">
        <v>102</v>
      </c>
      <c r="E221" s="4">
        <v>3.529</v>
      </c>
      <c r="F221" s="3">
        <v>53147.0</v>
      </c>
      <c r="G221" s="5">
        <v>6.302</v>
      </c>
      <c r="H221" s="4">
        <v>22.24</v>
      </c>
      <c r="I221" s="10">
        <f t="shared" si="10"/>
        <v>217</v>
      </c>
      <c r="J221" s="11">
        <f t="shared" si="9"/>
        <v>34.43351317</v>
      </c>
      <c r="K221" s="13">
        <f t="shared" si="3"/>
        <v>5285.0164</v>
      </c>
      <c r="L221" s="11">
        <f t="shared" si="4"/>
        <v>1351.487761</v>
      </c>
      <c r="M221" s="11">
        <f t="shared" si="5"/>
        <v>39.57959818</v>
      </c>
      <c r="N221" s="12">
        <f t="shared" si="6"/>
        <v>0.09944148117</v>
      </c>
      <c r="P221" s="11">
        <f t="shared" si="7"/>
        <v>35.6950431</v>
      </c>
    </row>
    <row r="222">
      <c r="A222" s="9">
        <v>41857.0</v>
      </c>
      <c r="B222" s="3" t="s">
        <v>285</v>
      </c>
      <c r="C222" s="3" t="s">
        <v>33</v>
      </c>
      <c r="D222" s="3" t="s">
        <v>177</v>
      </c>
      <c r="E222" s="4">
        <v>3.639</v>
      </c>
      <c r="F222" s="3">
        <v>53385.0</v>
      </c>
      <c r="G222" s="5">
        <v>6.699</v>
      </c>
      <c r="H222" s="4">
        <v>24.38</v>
      </c>
      <c r="I222" s="10">
        <f t="shared" si="10"/>
        <v>238</v>
      </c>
      <c r="J222" s="11">
        <f t="shared" si="9"/>
        <v>35.5276907</v>
      </c>
      <c r="K222" s="13">
        <f t="shared" si="3"/>
        <v>5309.3964</v>
      </c>
      <c r="L222" s="11">
        <f t="shared" si="4"/>
        <v>1358.186761</v>
      </c>
      <c r="M222" s="11">
        <f t="shared" si="5"/>
        <v>39.55948406</v>
      </c>
      <c r="N222" s="12">
        <f t="shared" si="6"/>
        <v>0.09945483563</v>
      </c>
      <c r="P222" s="11">
        <f t="shared" si="7"/>
        <v>35.4455822</v>
      </c>
    </row>
    <row r="223">
      <c r="A223" s="9">
        <v>41858.0</v>
      </c>
      <c r="B223" s="3" t="s">
        <v>286</v>
      </c>
      <c r="C223" s="3" t="s">
        <v>97</v>
      </c>
      <c r="D223" s="3" t="s">
        <v>50</v>
      </c>
      <c r="E223" s="4">
        <v>3.899</v>
      </c>
      <c r="F223" s="3">
        <v>53641.0</v>
      </c>
      <c r="G223" s="5">
        <v>6.604</v>
      </c>
      <c r="H223" s="4">
        <v>25.75</v>
      </c>
      <c r="I223" s="10">
        <f t="shared" si="10"/>
        <v>256</v>
      </c>
      <c r="J223" s="11">
        <f t="shared" si="9"/>
        <v>38.76438522</v>
      </c>
      <c r="K223" s="13">
        <f t="shared" si="3"/>
        <v>5335.1464</v>
      </c>
      <c r="L223" s="11">
        <f t="shared" si="4"/>
        <v>1364.790761</v>
      </c>
      <c r="M223" s="11">
        <f t="shared" si="5"/>
        <v>39.55561203</v>
      </c>
      <c r="N223" s="12">
        <f t="shared" si="6"/>
        <v>0.09946023378</v>
      </c>
      <c r="P223" s="11">
        <f t="shared" si="7"/>
        <v>36.42723758</v>
      </c>
    </row>
    <row r="224">
      <c r="A224" s="9">
        <v>41859.0</v>
      </c>
      <c r="B224" s="3" t="s">
        <v>133</v>
      </c>
      <c r="C224" s="3" t="s">
        <v>97</v>
      </c>
      <c r="D224" s="3" t="s">
        <v>50</v>
      </c>
      <c r="E224" s="4">
        <v>3.659</v>
      </c>
      <c r="F224" s="3">
        <v>53911.0</v>
      </c>
      <c r="G224" s="5">
        <v>6.905</v>
      </c>
      <c r="H224" s="4">
        <v>25.27</v>
      </c>
      <c r="I224" s="10">
        <f t="shared" si="10"/>
        <v>270</v>
      </c>
      <c r="J224" s="11">
        <f t="shared" si="9"/>
        <v>39.10209993</v>
      </c>
      <c r="K224" s="13">
        <f t="shared" si="3"/>
        <v>5360.4164</v>
      </c>
      <c r="L224" s="11">
        <f t="shared" si="4"/>
        <v>1371.695761</v>
      </c>
      <c r="M224" s="11">
        <f t="shared" si="5"/>
        <v>39.55331451</v>
      </c>
      <c r="N224" s="12">
        <f t="shared" si="6"/>
        <v>0.09943084714</v>
      </c>
      <c r="P224" s="11">
        <f t="shared" si="7"/>
        <v>36.88794169</v>
      </c>
    </row>
    <row r="225">
      <c r="A225" s="9">
        <v>41859.0</v>
      </c>
      <c r="B225" s="3" t="s">
        <v>183</v>
      </c>
      <c r="C225" s="3" t="s">
        <v>27</v>
      </c>
      <c r="D225" s="3" t="s">
        <v>134</v>
      </c>
      <c r="E225" s="4">
        <v>3.599</v>
      </c>
      <c r="F225" s="3">
        <v>54211.0</v>
      </c>
      <c r="G225" s="5">
        <v>8.094</v>
      </c>
      <c r="H225" s="4">
        <v>29.13</v>
      </c>
      <c r="I225" s="10">
        <f t="shared" si="10"/>
        <v>300</v>
      </c>
      <c r="J225" s="11">
        <f t="shared" si="9"/>
        <v>37.06449222</v>
      </c>
      <c r="K225" s="13">
        <f t="shared" si="3"/>
        <v>5389.5464</v>
      </c>
      <c r="L225" s="11">
        <f t="shared" si="4"/>
        <v>1379.789761</v>
      </c>
      <c r="M225" s="11">
        <f t="shared" si="5"/>
        <v>39.53862217</v>
      </c>
      <c r="N225" s="12">
        <f t="shared" si="6"/>
        <v>0.09941794839</v>
      </c>
      <c r="P225" s="11">
        <f t="shared" si="7"/>
        <v>36.71479109</v>
      </c>
    </row>
    <row r="226">
      <c r="A226" s="9">
        <v>41860.0</v>
      </c>
      <c r="B226" s="3" t="s">
        <v>287</v>
      </c>
      <c r="C226" s="3" t="s">
        <v>17</v>
      </c>
      <c r="D226" s="3" t="s">
        <v>21</v>
      </c>
      <c r="E226" s="4">
        <v>4.179</v>
      </c>
      <c r="F226" s="3">
        <v>54472.0</v>
      </c>
      <c r="G226" s="5">
        <v>6.366</v>
      </c>
      <c r="H226" s="4">
        <v>26.6</v>
      </c>
      <c r="I226" s="10">
        <f t="shared" si="10"/>
        <v>261</v>
      </c>
      <c r="J226" s="11">
        <f t="shared" si="9"/>
        <v>40.99905749</v>
      </c>
      <c r="K226" s="13">
        <f t="shared" si="3"/>
        <v>5416.1464</v>
      </c>
      <c r="L226" s="11">
        <f t="shared" si="4"/>
        <v>1386.155761</v>
      </c>
      <c r="M226" s="11">
        <f t="shared" si="5"/>
        <v>39.54537166</v>
      </c>
      <c r="N226" s="12">
        <f t="shared" si="6"/>
        <v>0.09942991629</v>
      </c>
      <c r="P226" s="11">
        <f t="shared" si="7"/>
        <v>37.63729558</v>
      </c>
    </row>
    <row r="227">
      <c r="A227" s="9">
        <v>41901.0</v>
      </c>
      <c r="B227" s="3" t="s">
        <v>171</v>
      </c>
      <c r="C227" s="3" t="s">
        <v>17</v>
      </c>
      <c r="D227" s="3" t="s">
        <v>21</v>
      </c>
      <c r="E227" s="4">
        <v>3.919</v>
      </c>
      <c r="F227" s="3">
        <v>54643.0</v>
      </c>
      <c r="G227" s="5">
        <v>5.267</v>
      </c>
      <c r="H227" s="4">
        <v>20.64</v>
      </c>
      <c r="I227" s="10">
        <f t="shared" si="10"/>
        <v>171</v>
      </c>
      <c r="J227" s="11">
        <f t="shared" si="9"/>
        <v>32.4662996</v>
      </c>
      <c r="K227" s="13">
        <f t="shared" si="3"/>
        <v>5436.7864</v>
      </c>
      <c r="L227" s="11">
        <f t="shared" si="4"/>
        <v>1391.422761</v>
      </c>
      <c r="M227" s="11">
        <f t="shared" si="5"/>
        <v>39.51840641</v>
      </c>
      <c r="N227" s="12">
        <f t="shared" si="6"/>
        <v>0.09949648445</v>
      </c>
      <c r="P227" s="11">
        <f t="shared" si="7"/>
        <v>37.46087392</v>
      </c>
    </row>
    <row r="228">
      <c r="A228" s="9">
        <v>41901.0</v>
      </c>
      <c r="B228" s="3" t="s">
        <v>288</v>
      </c>
      <c r="C228" s="3" t="s">
        <v>27</v>
      </c>
      <c r="D228" s="3" t="s">
        <v>134</v>
      </c>
      <c r="E228" s="4">
        <v>3.559</v>
      </c>
      <c r="F228" s="3">
        <v>54948.0</v>
      </c>
      <c r="G228" s="5">
        <v>7.482</v>
      </c>
      <c r="H228" s="4">
        <v>26.63</v>
      </c>
      <c r="I228" s="10">
        <f t="shared" si="10"/>
        <v>305</v>
      </c>
      <c r="J228" s="11">
        <f t="shared" si="9"/>
        <v>40.76450147</v>
      </c>
      <c r="K228" s="13">
        <f t="shared" si="3"/>
        <v>5463.4164</v>
      </c>
      <c r="L228" s="11">
        <f t="shared" si="4"/>
        <v>1398.904761</v>
      </c>
      <c r="M228" s="11">
        <f t="shared" si="5"/>
        <v>39.52511282</v>
      </c>
      <c r="N228" s="12">
        <f t="shared" si="6"/>
        <v>0.09942884909</v>
      </c>
      <c r="P228" s="11">
        <f t="shared" si="7"/>
        <v>38.38597181</v>
      </c>
    </row>
    <row r="229">
      <c r="A229" s="9">
        <v>41903.0</v>
      </c>
      <c r="B229" s="3" t="s">
        <v>289</v>
      </c>
      <c r="C229" s="3" t="s">
        <v>27</v>
      </c>
      <c r="D229" s="3" t="s">
        <v>290</v>
      </c>
      <c r="E229" s="4">
        <v>3.759</v>
      </c>
      <c r="F229" s="3">
        <v>55092.0</v>
      </c>
      <c r="G229" s="5">
        <v>3.928</v>
      </c>
      <c r="H229" s="4">
        <v>14.77</v>
      </c>
      <c r="I229" s="10">
        <f t="shared" si="10"/>
        <v>144</v>
      </c>
      <c r="J229" s="11">
        <f t="shared" si="9"/>
        <v>36.6598778</v>
      </c>
      <c r="K229" s="13">
        <f t="shared" si="3"/>
        <v>5478.1864</v>
      </c>
      <c r="L229" s="11">
        <f t="shared" si="4"/>
        <v>1402.832761</v>
      </c>
      <c r="M229" s="11">
        <f t="shared" si="5"/>
        <v>39.51703995</v>
      </c>
      <c r="N229" s="12">
        <f t="shared" si="6"/>
        <v>0.09943705801</v>
      </c>
      <c r="P229" s="11">
        <f t="shared" si="7"/>
        <v>38.14205352</v>
      </c>
    </row>
    <row r="230">
      <c r="A230" s="9">
        <v>41997.0</v>
      </c>
      <c r="B230" s="3" t="s">
        <v>171</v>
      </c>
      <c r="C230" s="3" t="s">
        <v>17</v>
      </c>
      <c r="D230" s="3" t="s">
        <v>21</v>
      </c>
      <c r="E230" s="4">
        <v>2.899</v>
      </c>
      <c r="F230" s="3">
        <v>55362.0</v>
      </c>
      <c r="G230" s="5">
        <v>8.214</v>
      </c>
      <c r="H230" s="4">
        <v>23.81</v>
      </c>
      <c r="I230" s="10">
        <f t="shared" si="10"/>
        <v>270</v>
      </c>
      <c r="J230" s="11">
        <f t="shared" si="9"/>
        <v>32.87070855</v>
      </c>
      <c r="K230" s="13">
        <f t="shared" si="3"/>
        <v>5501.9964</v>
      </c>
      <c r="L230" s="11">
        <f t="shared" si="4"/>
        <v>1411.046761</v>
      </c>
      <c r="M230" s="11">
        <f t="shared" si="5"/>
        <v>39.47811023</v>
      </c>
      <c r="N230" s="12">
        <f t="shared" si="6"/>
        <v>0.09938218272</v>
      </c>
      <c r="P230" s="11">
        <f t="shared" si="7"/>
        <v>36.87326879</v>
      </c>
    </row>
    <row r="231">
      <c r="A231" s="9">
        <v>42001.0</v>
      </c>
      <c r="B231" s="3" t="s">
        <v>291</v>
      </c>
      <c r="C231" s="3" t="s">
        <v>17</v>
      </c>
      <c r="D231" s="3" t="s">
        <v>104</v>
      </c>
      <c r="E231" s="4">
        <v>2.999</v>
      </c>
      <c r="F231" s="3">
        <v>55624.0</v>
      </c>
      <c r="G231" s="5">
        <v>6.388</v>
      </c>
      <c r="H231" s="4">
        <v>19.16</v>
      </c>
      <c r="I231" s="10">
        <f t="shared" si="10"/>
        <v>262</v>
      </c>
      <c r="J231" s="11">
        <f t="shared" si="9"/>
        <v>41.014402</v>
      </c>
      <c r="K231" s="13">
        <f t="shared" si="3"/>
        <v>5521.1564</v>
      </c>
      <c r="L231" s="11">
        <f t="shared" si="4"/>
        <v>1417.434761</v>
      </c>
      <c r="M231" s="11">
        <f t="shared" si="5"/>
        <v>39.48507665</v>
      </c>
      <c r="N231" s="12">
        <f t="shared" si="6"/>
        <v>0.09925852869</v>
      </c>
      <c r="P231" s="11">
        <f t="shared" si="7"/>
        <v>37.53486519</v>
      </c>
    </row>
    <row r="232">
      <c r="A232" s="9">
        <v>42042.0</v>
      </c>
      <c r="B232" s="3" t="s">
        <v>96</v>
      </c>
      <c r="C232" s="3" t="s">
        <v>17</v>
      </c>
      <c r="D232" s="3" t="s">
        <v>284</v>
      </c>
      <c r="E232" s="4">
        <v>2.659</v>
      </c>
      <c r="F232" s="3">
        <v>55841.0</v>
      </c>
      <c r="G232" s="5">
        <v>5.606</v>
      </c>
      <c r="H232" s="4">
        <v>14.91</v>
      </c>
      <c r="I232" s="10">
        <f t="shared" si="10"/>
        <v>217</v>
      </c>
      <c r="J232" s="11">
        <f t="shared" si="9"/>
        <v>38.70852658</v>
      </c>
      <c r="K232" s="13">
        <f t="shared" si="3"/>
        <v>5536.0664</v>
      </c>
      <c r="L232" s="11">
        <f t="shared" si="4"/>
        <v>1423.040761</v>
      </c>
      <c r="M232" s="11">
        <f t="shared" si="5"/>
        <v>39.48199865</v>
      </c>
      <c r="N232" s="12">
        <f t="shared" si="6"/>
        <v>0.09913981483</v>
      </c>
      <c r="P232" s="11">
        <f t="shared" si="7"/>
        <v>37.11535855</v>
      </c>
    </row>
    <row r="233">
      <c r="A233" s="9">
        <v>42120.0</v>
      </c>
      <c r="B233" s="3" t="s">
        <v>171</v>
      </c>
      <c r="C233" s="3" t="s">
        <v>17</v>
      </c>
      <c r="D233" s="3" t="s">
        <v>21</v>
      </c>
      <c r="E233" s="4">
        <v>3.639</v>
      </c>
      <c r="F233" s="3">
        <v>56010.0</v>
      </c>
      <c r="G233" s="5">
        <v>5.184</v>
      </c>
      <c r="H233" s="4">
        <v>18.86</v>
      </c>
      <c r="I233" s="10">
        <f t="shared" si="10"/>
        <v>169</v>
      </c>
      <c r="J233" s="11">
        <f t="shared" si="9"/>
        <v>32.60030864</v>
      </c>
      <c r="K233" s="13">
        <f t="shared" si="3"/>
        <v>5554.9264</v>
      </c>
      <c r="L233" s="11">
        <f t="shared" si="4"/>
        <v>1428.224761</v>
      </c>
      <c r="M233" s="11">
        <f t="shared" si="5"/>
        <v>39.45686722</v>
      </c>
      <c r="N233" s="12">
        <f t="shared" si="6"/>
        <v>0.09917740403</v>
      </c>
      <c r="P233" s="11">
        <f t="shared" si="7"/>
        <v>37.1447204</v>
      </c>
      <c r="Q233" s="16"/>
    </row>
    <row r="234">
      <c r="A234" s="9">
        <v>42139.0</v>
      </c>
      <c r="B234" s="16" t="s">
        <v>96</v>
      </c>
      <c r="C234" s="16" t="s">
        <v>17</v>
      </c>
      <c r="D234" s="16" t="s">
        <v>284</v>
      </c>
      <c r="E234" s="4">
        <v>4.809</v>
      </c>
      <c r="F234" s="16">
        <v>56194.0</v>
      </c>
      <c r="G234" s="5">
        <v>5.401</v>
      </c>
      <c r="H234" s="4">
        <v>22.08</v>
      </c>
      <c r="I234" s="10">
        <f t="shared" si="10"/>
        <v>184</v>
      </c>
      <c r="J234" s="11">
        <f t="shared" si="9"/>
        <v>34.06776523</v>
      </c>
      <c r="K234" s="13">
        <f t="shared" si="3"/>
        <v>5577.0064</v>
      </c>
      <c r="L234" s="11">
        <f t="shared" si="4"/>
        <v>1433.625761</v>
      </c>
      <c r="M234" s="11">
        <f t="shared" si="5"/>
        <v>39.43644052</v>
      </c>
      <c r="N234" s="12">
        <f t="shared" si="6"/>
        <v>0.09924558494</v>
      </c>
      <c r="P234" s="11">
        <f t="shared" si="7"/>
        <v>35.88606319</v>
      </c>
      <c r="Q234" s="16"/>
    </row>
    <row r="235">
      <c r="A235" s="9">
        <v>42191.0</v>
      </c>
      <c r="B235" s="16" t="s">
        <v>96</v>
      </c>
      <c r="C235" s="16" t="s">
        <v>17</v>
      </c>
      <c r="D235" s="16" t="s">
        <v>284</v>
      </c>
      <c r="E235" s="4">
        <v>3.479</v>
      </c>
      <c r="F235" s="16">
        <v>56376.0</v>
      </c>
      <c r="G235" s="5">
        <v>4.965</v>
      </c>
      <c r="H235" s="4">
        <v>17.27</v>
      </c>
      <c r="I235" s="10">
        <f t="shared" si="10"/>
        <v>182</v>
      </c>
      <c r="J235" s="11">
        <f t="shared" si="9"/>
        <v>36.65659617</v>
      </c>
      <c r="K235" s="13">
        <f t="shared" si="3"/>
        <v>5594.2764</v>
      </c>
      <c r="L235" s="11">
        <f t="shared" si="4"/>
        <v>1438.590761</v>
      </c>
      <c r="M235" s="11">
        <f t="shared" si="5"/>
        <v>39.42678808</v>
      </c>
      <c r="N235" s="12">
        <f t="shared" si="6"/>
        <v>0.09923152405</v>
      </c>
      <c r="P235" s="11">
        <f t="shared" si="7"/>
        <v>35.90804855</v>
      </c>
      <c r="Q235" s="16"/>
    </row>
    <row r="236">
      <c r="A236" s="9">
        <v>42192.0</v>
      </c>
      <c r="B236" s="16" t="s">
        <v>292</v>
      </c>
      <c r="C236" s="16" t="s">
        <v>17</v>
      </c>
      <c r="D236" s="16" t="s">
        <v>293</v>
      </c>
      <c r="E236" s="4">
        <v>4.399</v>
      </c>
      <c r="F236" s="16">
        <v>56608.0</v>
      </c>
      <c r="G236" s="5">
        <v>5.961</v>
      </c>
      <c r="H236" s="4">
        <v>26.22</v>
      </c>
      <c r="I236" s="10">
        <f t="shared" si="10"/>
        <v>232</v>
      </c>
      <c r="J236" s="11">
        <f t="shared" si="9"/>
        <v>38.91964435</v>
      </c>
      <c r="K236" s="13">
        <f t="shared" si="3"/>
        <v>5620.4964</v>
      </c>
      <c r="L236" s="11">
        <f t="shared" si="4"/>
        <v>1444.551761</v>
      </c>
      <c r="M236" s="11">
        <f t="shared" si="5"/>
        <v>39.42468265</v>
      </c>
      <c r="N236" s="12">
        <f t="shared" si="6"/>
        <v>0.09928802289</v>
      </c>
      <c r="P236" s="11">
        <f t="shared" si="7"/>
        <v>37.18847933</v>
      </c>
      <c r="Q236" s="16"/>
    </row>
    <row r="237">
      <c r="A237" s="9">
        <v>42192.0</v>
      </c>
      <c r="B237" s="16" t="s">
        <v>294</v>
      </c>
      <c r="C237" s="16" t="s">
        <v>27</v>
      </c>
      <c r="D237" s="16" t="s">
        <v>104</v>
      </c>
      <c r="E237" s="4">
        <v>3.549</v>
      </c>
      <c r="F237" s="16">
        <v>56852.0</v>
      </c>
      <c r="G237" s="5">
        <v>6.8</v>
      </c>
      <c r="H237" s="4">
        <v>24.13</v>
      </c>
      <c r="I237" s="10">
        <f t="shared" si="10"/>
        <v>244</v>
      </c>
      <c r="J237" s="11">
        <f t="shared" si="9"/>
        <v>35.88235294</v>
      </c>
      <c r="K237" s="13">
        <f t="shared" si="3"/>
        <v>5644.6264</v>
      </c>
      <c r="L237" s="11">
        <f t="shared" si="4"/>
        <v>1451.351761</v>
      </c>
      <c r="M237" s="11">
        <f t="shared" si="5"/>
        <v>39.40798573</v>
      </c>
      <c r="N237" s="12">
        <f t="shared" si="6"/>
        <v>0.09928632942</v>
      </c>
      <c r="P237" s="11">
        <f t="shared" si="7"/>
        <v>36.20603237</v>
      </c>
      <c r="Q237" s="16"/>
    </row>
    <row r="238">
      <c r="A238" s="9">
        <v>42194.0</v>
      </c>
      <c r="B238" s="16" t="s">
        <v>295</v>
      </c>
      <c r="C238" s="16" t="s">
        <v>27</v>
      </c>
      <c r="D238" s="16" t="s">
        <v>104</v>
      </c>
      <c r="E238" s="4">
        <v>3.129</v>
      </c>
      <c r="F238" s="16">
        <v>57158.0</v>
      </c>
      <c r="G238" s="5">
        <v>7.635</v>
      </c>
      <c r="H238" s="4">
        <v>23.89</v>
      </c>
      <c r="I238" s="10">
        <f t="shared" si="10"/>
        <v>306</v>
      </c>
      <c r="J238" s="11">
        <f t="shared" si="9"/>
        <v>40.07858546</v>
      </c>
      <c r="K238" s="13">
        <f t="shared" si="3"/>
        <v>5668.5164</v>
      </c>
      <c r="L238" s="11">
        <f t="shared" si="4"/>
        <v>1458.986761</v>
      </c>
      <c r="M238" s="11">
        <f t="shared" si="5"/>
        <v>39.41151609</v>
      </c>
      <c r="N238" s="12">
        <f t="shared" si="6"/>
        <v>0.09917275622</v>
      </c>
      <c r="P238" s="11">
        <f t="shared" si="7"/>
        <v>36.63829077</v>
      </c>
      <c r="Q238" s="16"/>
    </row>
    <row r="239">
      <c r="A239" s="9">
        <v>42196.0</v>
      </c>
      <c r="B239" s="16" t="s">
        <v>96</v>
      </c>
      <c r="C239" s="16" t="s">
        <v>17</v>
      </c>
      <c r="D239" s="16" t="s">
        <v>284</v>
      </c>
      <c r="E239" s="4">
        <v>3.699</v>
      </c>
      <c r="F239" s="16">
        <v>57429.0</v>
      </c>
      <c r="G239" s="5">
        <v>7.246</v>
      </c>
      <c r="H239" s="4">
        <v>26.8</v>
      </c>
      <c r="I239" s="10">
        <f t="shared" si="10"/>
        <v>271</v>
      </c>
      <c r="J239" s="11">
        <f t="shared" si="9"/>
        <v>37.3999448</v>
      </c>
      <c r="K239" s="13">
        <f t="shared" si="3"/>
        <v>5695.3164</v>
      </c>
      <c r="L239" s="11">
        <f t="shared" si="4"/>
        <v>1466.232761</v>
      </c>
      <c r="M239" s="11">
        <f t="shared" si="5"/>
        <v>39.40151573</v>
      </c>
      <c r="N239" s="12">
        <f t="shared" si="6"/>
        <v>0.09917143603</v>
      </c>
      <c r="P239" s="11">
        <f t="shared" si="7"/>
        <v>37.33424542</v>
      </c>
      <c r="Q239" s="16"/>
    </row>
    <row r="240">
      <c r="A240" s="20">
        <v>42364.0</v>
      </c>
      <c r="B240" s="21" t="s">
        <v>171</v>
      </c>
      <c r="C240" s="16" t="s">
        <v>17</v>
      </c>
      <c r="D240" s="16" t="s">
        <v>21</v>
      </c>
      <c r="E240" s="4">
        <v>3.199</v>
      </c>
      <c r="F240" s="21">
        <v>57610.0</v>
      </c>
      <c r="G240" s="5">
        <v>6.187</v>
      </c>
      <c r="H240" s="4">
        <v>19.79</v>
      </c>
      <c r="I240" s="10">
        <f t="shared" si="10"/>
        <v>181</v>
      </c>
      <c r="J240" s="11">
        <f t="shared" si="9"/>
        <v>29.25488928</v>
      </c>
      <c r="K240" s="13">
        <f>if(H240&gt;0,K233+H240," ")</f>
        <v>5574.7164</v>
      </c>
      <c r="L240" s="11">
        <f>G240+L233</f>
        <v>1434.411761</v>
      </c>
      <c r="M240" s="11">
        <f t="shared" si="5"/>
        <v>40.4078872</v>
      </c>
      <c r="N240" s="12">
        <f t="shared" si="6"/>
        <v>0.0967664711</v>
      </c>
      <c r="O240" s="21"/>
      <c r="P240" s="11">
        <f t="shared" ref="P240:P244" si="11">(sum(I229:I240)/sum(G229:G240))</f>
        <v>36.21029722</v>
      </c>
      <c r="Q240" s="16"/>
    </row>
    <row r="241">
      <c r="A241" s="20">
        <v>42434.0</v>
      </c>
      <c r="B241" s="16" t="s">
        <v>171</v>
      </c>
      <c r="C241" s="16" t="s">
        <v>17</v>
      </c>
      <c r="D241" s="16" t="s">
        <v>284</v>
      </c>
      <c r="E241" s="4">
        <v>2.499</v>
      </c>
      <c r="F241" s="21">
        <v>57877.0</v>
      </c>
      <c r="G241" s="5">
        <v>7.087</v>
      </c>
      <c r="H241" s="4">
        <v>17.71</v>
      </c>
      <c r="I241" s="10">
        <f t="shared" si="10"/>
        <v>267</v>
      </c>
      <c r="J241" s="11">
        <f t="shared" si="9"/>
        <v>37.67461549</v>
      </c>
      <c r="K241" s="13">
        <f t="shared" ref="K241:K294" si="12">if(H241&gt;0,K240+H241," ")</f>
        <v>5592.4264</v>
      </c>
      <c r="L241" s="11">
        <f t="shared" ref="L241:L294" si="13">G241+L240</f>
        <v>1441.498761</v>
      </c>
      <c r="M241" s="11">
        <f t="shared" si="5"/>
        <v>40.39436772</v>
      </c>
      <c r="N241" s="12">
        <f t="shared" si="6"/>
        <v>0.09662605871</v>
      </c>
      <c r="O241" s="22"/>
      <c r="P241" s="11">
        <f t="shared" si="11"/>
        <v>36.32261262</v>
      </c>
    </row>
    <row r="242">
      <c r="A242" s="23">
        <v>42480.0</v>
      </c>
      <c r="B242" s="21" t="s">
        <v>165</v>
      </c>
      <c r="C242" s="21" t="s">
        <v>17</v>
      </c>
      <c r="D242" s="21" t="s">
        <v>284</v>
      </c>
      <c r="E242" s="24">
        <v>2.699</v>
      </c>
      <c r="F242" s="21">
        <v>58094.0</v>
      </c>
      <c r="G242" s="25">
        <v>6.108</v>
      </c>
      <c r="H242" s="24">
        <v>16.49</v>
      </c>
      <c r="I242" s="26">
        <f t="shared" si="10"/>
        <v>217</v>
      </c>
      <c r="J242" s="27">
        <f t="shared" si="9"/>
        <v>35.52717747</v>
      </c>
      <c r="K242" s="28">
        <f t="shared" si="12"/>
        <v>5608.9164</v>
      </c>
      <c r="L242" s="27">
        <f t="shared" si="13"/>
        <v>1447.606761</v>
      </c>
      <c r="M242" s="27">
        <f t="shared" si="5"/>
        <v>40.37370703</v>
      </c>
      <c r="N242" s="29">
        <f t="shared" si="6"/>
        <v>0.09654897924</v>
      </c>
      <c r="O242" s="22"/>
      <c r="P242" s="27">
        <f t="shared" si="11"/>
        <v>36.63769982</v>
      </c>
      <c r="Q242" s="22"/>
      <c r="R242" s="22"/>
      <c r="S242" s="22"/>
      <c r="T242" s="22"/>
      <c r="U242" s="22"/>
    </row>
    <row r="243">
      <c r="A243" s="23">
        <v>42515.0</v>
      </c>
      <c r="B243" s="21" t="s">
        <v>171</v>
      </c>
      <c r="C243" s="21" t="s">
        <v>17</v>
      </c>
      <c r="D243" s="21" t="s">
        <v>21</v>
      </c>
      <c r="E243" s="24">
        <v>2.999</v>
      </c>
      <c r="F243" s="21">
        <v>58213.0</v>
      </c>
      <c r="G243" s="25">
        <v>6.108</v>
      </c>
      <c r="H243" s="24">
        <v>16.49</v>
      </c>
      <c r="I243" s="26">
        <f t="shared" si="10"/>
        <v>119</v>
      </c>
      <c r="J243" s="27">
        <f t="shared" si="9"/>
        <v>19.48264571</v>
      </c>
      <c r="K243" s="28">
        <f t="shared" si="12"/>
        <v>5625.4064</v>
      </c>
      <c r="L243" s="27">
        <f t="shared" si="13"/>
        <v>1453.714761</v>
      </c>
      <c r="M243" s="27">
        <f t="shared" si="5"/>
        <v>40.28540164</v>
      </c>
      <c r="N243" s="29">
        <f t="shared" si="6"/>
        <v>0.09663488224</v>
      </c>
      <c r="O243" s="22"/>
      <c r="P243" s="27">
        <f t="shared" si="11"/>
        <v>34.85085074</v>
      </c>
      <c r="Q243" s="22"/>
      <c r="R243" s="22"/>
      <c r="S243" s="22"/>
      <c r="T243" s="22"/>
      <c r="U243" s="22"/>
    </row>
    <row r="244">
      <c r="A244" s="23">
        <v>42516.0</v>
      </c>
      <c r="B244" s="21" t="s">
        <v>179</v>
      </c>
      <c r="C244" s="21" t="s">
        <v>17</v>
      </c>
      <c r="D244" s="21" t="s">
        <v>296</v>
      </c>
      <c r="E244" s="24">
        <v>3.099</v>
      </c>
      <c r="F244" s="21">
        <v>58415.0</v>
      </c>
      <c r="G244" s="25">
        <v>6.108</v>
      </c>
      <c r="H244" s="24">
        <v>16.49</v>
      </c>
      <c r="I244" s="26">
        <f t="shared" si="10"/>
        <v>202</v>
      </c>
      <c r="J244" s="27">
        <f t="shared" si="9"/>
        <v>33.07138179</v>
      </c>
      <c r="K244" s="28">
        <f t="shared" si="12"/>
        <v>5641.8964</v>
      </c>
      <c r="L244" s="27">
        <f t="shared" si="13"/>
        <v>1459.822761</v>
      </c>
      <c r="M244" s="27">
        <f t="shared" si="5"/>
        <v>40.25503671</v>
      </c>
      <c r="N244" s="29">
        <f t="shared" si="6"/>
        <v>0.09658300779</v>
      </c>
      <c r="O244" s="22"/>
      <c r="P244" s="27">
        <f t="shared" si="11"/>
        <v>34.41636582</v>
      </c>
      <c r="Q244" s="22"/>
      <c r="R244" s="22"/>
      <c r="S244" s="22"/>
      <c r="T244" s="22"/>
      <c r="U244" s="22"/>
    </row>
    <row r="245">
      <c r="A245" s="20">
        <v>42517.0</v>
      </c>
      <c r="B245" s="16" t="s">
        <v>297</v>
      </c>
      <c r="C245" s="16" t="s">
        <v>27</v>
      </c>
      <c r="D245" s="16" t="s">
        <v>50</v>
      </c>
      <c r="E245" s="4">
        <v>2.439</v>
      </c>
      <c r="F245" s="16">
        <v>58746.0</v>
      </c>
      <c r="G245" s="5">
        <v>6.346</v>
      </c>
      <c r="H245" s="4">
        <v>19.66</v>
      </c>
      <c r="I245" s="10">
        <f t="shared" si="10"/>
        <v>331</v>
      </c>
      <c r="J245" s="11">
        <f t="shared" si="9"/>
        <v>52.15884021</v>
      </c>
      <c r="K245" s="13">
        <f t="shared" si="12"/>
        <v>5661.5564</v>
      </c>
      <c r="L245" s="11">
        <f t="shared" si="13"/>
        <v>1466.168761</v>
      </c>
      <c r="M245" s="11">
        <f t="shared" si="5"/>
        <v>40.30686735</v>
      </c>
      <c r="N245" s="12">
        <f t="shared" si="6"/>
        <v>0.09637347905</v>
      </c>
      <c r="P245" s="11">
        <f t="shared" ref="P245:P246" si="14">(sum(I240:I245)/sum(G240:G245))</f>
        <v>34.70904491</v>
      </c>
    </row>
    <row r="246">
      <c r="A246" s="20">
        <v>42518.0</v>
      </c>
      <c r="B246" s="16" t="s">
        <v>298</v>
      </c>
      <c r="C246" s="16" t="s">
        <v>158</v>
      </c>
      <c r="D246" s="16" t="s">
        <v>21</v>
      </c>
      <c r="E246" s="4">
        <v>2.699</v>
      </c>
      <c r="F246" s="16">
        <v>59013.0</v>
      </c>
      <c r="G246" s="5">
        <v>7.283</v>
      </c>
      <c r="H246" s="4">
        <v>19.66</v>
      </c>
      <c r="I246" s="10">
        <f t="shared" si="10"/>
        <v>267</v>
      </c>
      <c r="J246" s="11">
        <f t="shared" si="9"/>
        <v>36.66071674</v>
      </c>
      <c r="K246" s="13">
        <f t="shared" si="12"/>
        <v>5681.2164</v>
      </c>
      <c r="L246" s="11">
        <f t="shared" si="13"/>
        <v>1473.451761</v>
      </c>
      <c r="M246" s="11">
        <f t="shared" si="5"/>
        <v>40.28873806</v>
      </c>
      <c r="N246" s="12">
        <f t="shared" si="6"/>
        <v>0.09627059123</v>
      </c>
      <c r="P246" s="11">
        <f t="shared" si="14"/>
        <v>35.9375</v>
      </c>
    </row>
    <row r="247">
      <c r="A247" s="20">
        <v>42519.0</v>
      </c>
      <c r="B247" s="16" t="s">
        <v>299</v>
      </c>
      <c r="C247" s="16" t="s">
        <v>154</v>
      </c>
      <c r="D247" s="16" t="s">
        <v>284</v>
      </c>
      <c r="E247" s="4">
        <v>2.579</v>
      </c>
      <c r="F247" s="16">
        <v>59314.0</v>
      </c>
      <c r="G247" s="5">
        <v>6.002</v>
      </c>
      <c r="H247" s="4">
        <v>15.48</v>
      </c>
      <c r="I247" s="10">
        <f t="shared" si="10"/>
        <v>301</v>
      </c>
      <c r="J247" s="11">
        <f t="shared" si="9"/>
        <v>50.14995002</v>
      </c>
      <c r="K247" s="13">
        <f t="shared" si="12"/>
        <v>5696.6964</v>
      </c>
      <c r="L247" s="11">
        <f t="shared" si="13"/>
        <v>1479.453761</v>
      </c>
      <c r="M247" s="11">
        <f t="shared" si="5"/>
        <v>40.32898068</v>
      </c>
      <c r="N247" s="12">
        <f t="shared" si="6"/>
        <v>0.096043032</v>
      </c>
      <c r="P247" s="11">
        <f>(sum(I243:I247)/sum(G243:G247))</f>
        <v>38.30816089</v>
      </c>
    </row>
    <row r="248">
      <c r="A248" s="20">
        <v>42520.0</v>
      </c>
      <c r="B248" s="16" t="s">
        <v>95</v>
      </c>
      <c r="C248" s="16" t="s">
        <v>191</v>
      </c>
      <c r="D248" s="16" t="s">
        <v>28</v>
      </c>
      <c r="E248" s="4">
        <v>2.659</v>
      </c>
      <c r="F248" s="16">
        <v>59627.0</v>
      </c>
      <c r="G248" s="5">
        <v>5.585</v>
      </c>
      <c r="H248" s="4">
        <v>14.85</v>
      </c>
      <c r="I248" s="10">
        <f t="shared" si="10"/>
        <v>313</v>
      </c>
      <c r="J248" s="11">
        <f t="shared" si="9"/>
        <v>56.04297225</v>
      </c>
      <c r="K248" s="13">
        <f t="shared" si="12"/>
        <v>5711.5464</v>
      </c>
      <c r="L248" s="11">
        <f t="shared" si="13"/>
        <v>1485.038761</v>
      </c>
      <c r="M248" s="11">
        <f t="shared" si="5"/>
        <v>40.38842682</v>
      </c>
      <c r="N248" s="12">
        <f t="shared" si="6"/>
        <v>0.09578792158</v>
      </c>
      <c r="P248" s="11">
        <f t="shared" ref="P248:P294" si="15">(sum(I243:I248)/sum(G243:G248))</f>
        <v>40.95426373</v>
      </c>
    </row>
    <row r="249">
      <c r="A249" s="20">
        <v>42521.0</v>
      </c>
      <c r="B249" s="16" t="s">
        <v>300</v>
      </c>
      <c r="C249" s="16" t="s">
        <v>191</v>
      </c>
      <c r="D249" s="16" t="s">
        <v>148</v>
      </c>
      <c r="E249" s="4">
        <v>3.069</v>
      </c>
      <c r="F249" s="16">
        <v>59931.0</v>
      </c>
      <c r="G249" s="5">
        <v>7.068</v>
      </c>
      <c r="H249" s="4">
        <v>21.69</v>
      </c>
      <c r="I249" s="10">
        <f t="shared" si="10"/>
        <v>304</v>
      </c>
      <c r="J249" s="11">
        <f t="shared" si="9"/>
        <v>43.01075269</v>
      </c>
      <c r="K249" s="13">
        <f t="shared" si="12"/>
        <v>5733.2364</v>
      </c>
      <c r="L249" s="11">
        <f t="shared" si="13"/>
        <v>1492.106761</v>
      </c>
      <c r="M249" s="11">
        <f t="shared" si="5"/>
        <v>40.40092144</v>
      </c>
      <c r="N249" s="12">
        <f t="shared" si="6"/>
        <v>0.09566395355</v>
      </c>
      <c r="P249" s="11">
        <f t="shared" si="15"/>
        <v>44.74890602</v>
      </c>
    </row>
    <row r="250">
      <c r="A250" s="20">
        <v>42522.0</v>
      </c>
      <c r="B250" s="16" t="s">
        <v>301</v>
      </c>
      <c r="C250" s="16" t="s">
        <v>196</v>
      </c>
      <c r="D250" s="16" t="s">
        <v>302</v>
      </c>
      <c r="E250" s="4">
        <v>2.929</v>
      </c>
      <c r="F250" s="16">
        <v>60242.0</v>
      </c>
      <c r="G250" s="5">
        <v>6.998</v>
      </c>
      <c r="H250" s="4">
        <v>20.5</v>
      </c>
      <c r="I250" s="10">
        <f t="shared" si="10"/>
        <v>311</v>
      </c>
      <c r="J250" s="11">
        <f t="shared" si="9"/>
        <v>44.44126893</v>
      </c>
      <c r="K250" s="13">
        <f t="shared" si="12"/>
        <v>5753.7364</v>
      </c>
      <c r="L250" s="11">
        <f t="shared" si="13"/>
        <v>1499.104761</v>
      </c>
      <c r="M250" s="11">
        <f t="shared" si="5"/>
        <v>40.41989236</v>
      </c>
      <c r="N250" s="12">
        <f t="shared" si="6"/>
        <v>0.09551038146</v>
      </c>
      <c r="P250" s="11">
        <f t="shared" si="15"/>
        <v>46.50985184</v>
      </c>
    </row>
    <row r="251">
      <c r="A251" s="20">
        <v>42523.0</v>
      </c>
      <c r="B251" s="16" t="s">
        <v>303</v>
      </c>
      <c r="C251" s="16" t="s">
        <v>75</v>
      </c>
      <c r="D251" s="16" t="s">
        <v>148</v>
      </c>
      <c r="E251" s="4">
        <v>2.789</v>
      </c>
      <c r="F251" s="16">
        <v>60561.0</v>
      </c>
      <c r="G251" s="5">
        <v>7.002</v>
      </c>
      <c r="H251" s="4">
        <v>19.53</v>
      </c>
      <c r="I251" s="10">
        <f t="shared" si="10"/>
        <v>319</v>
      </c>
      <c r="J251" s="11">
        <f t="shared" si="9"/>
        <v>45.55841188</v>
      </c>
      <c r="K251" s="13">
        <f t="shared" si="12"/>
        <v>5773.2664</v>
      </c>
      <c r="L251" s="11">
        <f t="shared" si="13"/>
        <v>1506.106761</v>
      </c>
      <c r="M251" s="11">
        <f t="shared" si="5"/>
        <v>40.44392051</v>
      </c>
      <c r="N251" s="12">
        <f t="shared" si="6"/>
        <v>0.09532977329</v>
      </c>
      <c r="P251" s="11">
        <f t="shared" si="15"/>
        <v>45.44544043</v>
      </c>
    </row>
    <row r="252">
      <c r="A252" s="20">
        <v>42524.0</v>
      </c>
      <c r="B252" s="16" t="s">
        <v>304</v>
      </c>
      <c r="C252" s="16" t="s">
        <v>266</v>
      </c>
      <c r="D252" s="16" t="s">
        <v>21</v>
      </c>
      <c r="E252" s="4">
        <v>2.749</v>
      </c>
      <c r="F252" s="16">
        <v>60806.0</v>
      </c>
      <c r="G252" s="5">
        <v>5.821</v>
      </c>
      <c r="H252" s="4">
        <v>16.0</v>
      </c>
      <c r="I252" s="10">
        <f t="shared" si="10"/>
        <v>245</v>
      </c>
      <c r="J252" s="11">
        <f t="shared" si="9"/>
        <v>42.08898815</v>
      </c>
      <c r="K252" s="13">
        <f t="shared" si="12"/>
        <v>5789.2664</v>
      </c>
      <c r="L252" s="11">
        <f t="shared" si="13"/>
        <v>1511.927761</v>
      </c>
      <c r="M252" s="11">
        <f t="shared" si="5"/>
        <v>40.45029076</v>
      </c>
      <c r="N252" s="12">
        <f t="shared" si="6"/>
        <v>0.09520880176</v>
      </c>
      <c r="P252" s="11">
        <f t="shared" si="15"/>
        <v>46.60047822</v>
      </c>
    </row>
    <row r="253">
      <c r="A253" s="20">
        <v>42525.0</v>
      </c>
      <c r="B253" s="16" t="s">
        <v>305</v>
      </c>
      <c r="C253" s="16" t="s">
        <v>306</v>
      </c>
      <c r="D253" s="16" t="s">
        <v>138</v>
      </c>
      <c r="E253" s="4">
        <v>2.789</v>
      </c>
      <c r="F253" s="16">
        <v>61054.0</v>
      </c>
      <c r="G253" s="5">
        <v>5.818</v>
      </c>
      <c r="H253" s="4">
        <v>16.23</v>
      </c>
      <c r="I253" s="10">
        <f t="shared" si="10"/>
        <v>248</v>
      </c>
      <c r="J253" s="11">
        <f t="shared" si="9"/>
        <v>42.62633207</v>
      </c>
      <c r="K253" s="13">
        <f t="shared" si="12"/>
        <v>5805.4964</v>
      </c>
      <c r="L253" s="11">
        <f t="shared" si="13"/>
        <v>1517.745761</v>
      </c>
      <c r="M253" s="11">
        <f t="shared" si="5"/>
        <v>40.45868031</v>
      </c>
      <c r="N253" s="12">
        <f t="shared" si="6"/>
        <v>0.09508789596</v>
      </c>
      <c r="P253" s="11">
        <f t="shared" si="15"/>
        <v>45.44030085</v>
      </c>
    </row>
    <row r="254">
      <c r="A254" s="20">
        <v>42530.0</v>
      </c>
      <c r="B254" s="16" t="s">
        <v>307</v>
      </c>
      <c r="C254" s="16" t="s">
        <v>266</v>
      </c>
      <c r="D254" s="16" t="s">
        <v>284</v>
      </c>
      <c r="E254" s="4">
        <v>2.349</v>
      </c>
      <c r="F254" s="16">
        <v>61339.0</v>
      </c>
      <c r="G254" s="5">
        <v>6.911</v>
      </c>
      <c r="H254" s="4">
        <v>16.23</v>
      </c>
      <c r="I254" s="10">
        <f t="shared" si="10"/>
        <v>285</v>
      </c>
      <c r="J254" s="11">
        <f t="shared" si="9"/>
        <v>41.23860512</v>
      </c>
      <c r="K254" s="13">
        <f t="shared" si="12"/>
        <v>5821.7264</v>
      </c>
      <c r="L254" s="11">
        <f t="shared" si="13"/>
        <v>1524.656761</v>
      </c>
      <c r="M254" s="11">
        <f t="shared" si="5"/>
        <v>40.46223586</v>
      </c>
      <c r="N254" s="12">
        <f t="shared" si="6"/>
        <v>0.09491068325</v>
      </c>
      <c r="P254" s="11">
        <f t="shared" si="15"/>
        <v>43.2126811</v>
      </c>
    </row>
    <row r="255">
      <c r="A255" s="20">
        <v>42531.0</v>
      </c>
      <c r="B255" s="16" t="s">
        <v>308</v>
      </c>
      <c r="C255" s="16" t="s">
        <v>83</v>
      </c>
      <c r="D255" s="16" t="s">
        <v>21</v>
      </c>
      <c r="E255" s="4">
        <v>3.049</v>
      </c>
      <c r="F255" s="16">
        <v>61610.0</v>
      </c>
      <c r="G255" s="5">
        <v>6.002</v>
      </c>
      <c r="H255" s="4">
        <v>18.3</v>
      </c>
      <c r="I255" s="10">
        <f t="shared" si="10"/>
        <v>271</v>
      </c>
      <c r="J255" s="11">
        <f t="shared" si="9"/>
        <v>45.15161613</v>
      </c>
      <c r="K255" s="13">
        <f t="shared" si="12"/>
        <v>5840.0264</v>
      </c>
      <c r="L255" s="11">
        <f t="shared" si="13"/>
        <v>1530.658761</v>
      </c>
      <c r="M255" s="11">
        <f t="shared" si="5"/>
        <v>40.48072891</v>
      </c>
      <c r="N255" s="12">
        <f t="shared" si="6"/>
        <v>0.09479023535</v>
      </c>
      <c r="P255" s="11">
        <f t="shared" si="15"/>
        <v>43.55156672</v>
      </c>
    </row>
    <row r="256">
      <c r="A256" s="20">
        <v>42532.0</v>
      </c>
      <c r="B256" s="16" t="s">
        <v>309</v>
      </c>
      <c r="C256" s="16" t="s">
        <v>306</v>
      </c>
      <c r="D256" s="16" t="s">
        <v>310</v>
      </c>
      <c r="E256" s="4">
        <v>2.969</v>
      </c>
      <c r="F256" s="16">
        <v>61882.0</v>
      </c>
      <c r="G256" s="5">
        <v>6.337</v>
      </c>
      <c r="H256" s="4">
        <v>18.81</v>
      </c>
      <c r="I256" s="10">
        <f t="shared" si="10"/>
        <v>272</v>
      </c>
      <c r="J256" s="11">
        <f t="shared" si="9"/>
        <v>42.92251854</v>
      </c>
      <c r="K256" s="13">
        <f t="shared" si="12"/>
        <v>5858.8364</v>
      </c>
      <c r="L256" s="11">
        <f t="shared" si="13"/>
        <v>1536.995761</v>
      </c>
      <c r="M256" s="11">
        <f t="shared" si="5"/>
        <v>40.49085367</v>
      </c>
      <c r="N256" s="12">
        <f t="shared" si="6"/>
        <v>0.09467755405</v>
      </c>
      <c r="P256" s="11">
        <f t="shared" si="15"/>
        <v>43.28204587</v>
      </c>
    </row>
    <row r="257">
      <c r="A257" s="20">
        <v>42533.0</v>
      </c>
      <c r="B257" s="16" t="s">
        <v>311</v>
      </c>
      <c r="C257" s="16" t="s">
        <v>54</v>
      </c>
      <c r="D257" s="16" t="s">
        <v>21</v>
      </c>
      <c r="E257" s="4">
        <v>2.959</v>
      </c>
      <c r="F257" s="16">
        <v>62141.0</v>
      </c>
      <c r="G257" s="5">
        <v>6.572</v>
      </c>
      <c r="H257" s="4">
        <v>19.45</v>
      </c>
      <c r="I257" s="10">
        <f t="shared" si="10"/>
        <v>259</v>
      </c>
      <c r="J257" s="11">
        <f t="shared" si="9"/>
        <v>39.40961656</v>
      </c>
      <c r="K257" s="13">
        <f t="shared" si="12"/>
        <v>5878.2864</v>
      </c>
      <c r="L257" s="11">
        <f t="shared" si="13"/>
        <v>1543.567761</v>
      </c>
      <c r="M257" s="11">
        <f t="shared" si="5"/>
        <v>40.48622402</v>
      </c>
      <c r="N257" s="12">
        <f t="shared" si="6"/>
        <v>0.09459594149</v>
      </c>
      <c r="P257" s="11">
        <f t="shared" si="15"/>
        <v>42.17719762</v>
      </c>
    </row>
    <row r="258">
      <c r="A258" s="20">
        <v>42534.0</v>
      </c>
      <c r="B258" s="16" t="s">
        <v>312</v>
      </c>
      <c r="C258" s="16" t="s">
        <v>57</v>
      </c>
      <c r="D258" s="16" t="s">
        <v>21</v>
      </c>
      <c r="E258" s="4">
        <v>2.799</v>
      </c>
      <c r="F258" s="16">
        <v>62441.0</v>
      </c>
      <c r="G258" s="5">
        <v>7.302</v>
      </c>
      <c r="H258" s="4">
        <v>20.44</v>
      </c>
      <c r="I258" s="10">
        <f t="shared" si="10"/>
        <v>300</v>
      </c>
      <c r="J258" s="11">
        <f t="shared" si="9"/>
        <v>41.08463435</v>
      </c>
      <c r="K258" s="13">
        <f t="shared" si="12"/>
        <v>5898.7264</v>
      </c>
      <c r="L258" s="11">
        <f t="shared" si="13"/>
        <v>1550.869761</v>
      </c>
      <c r="M258" s="11">
        <f t="shared" si="5"/>
        <v>40.48905743</v>
      </c>
      <c r="N258" s="12">
        <f t="shared" si="6"/>
        <v>0.09446880095</v>
      </c>
      <c r="P258" s="11">
        <f t="shared" si="15"/>
        <v>41.98551692</v>
      </c>
    </row>
    <row r="259">
      <c r="A259" s="20">
        <v>42535.0</v>
      </c>
      <c r="B259" s="16" t="s">
        <v>313</v>
      </c>
      <c r="C259" s="16" t="s">
        <v>83</v>
      </c>
      <c r="D259" s="16" t="s">
        <v>84</v>
      </c>
      <c r="E259" s="4">
        <v>2.699</v>
      </c>
      <c r="F259" s="16">
        <v>62703.0</v>
      </c>
      <c r="G259" s="5">
        <v>6.113</v>
      </c>
      <c r="H259" s="4">
        <v>16.5</v>
      </c>
      <c r="I259" s="10">
        <f t="shared" si="10"/>
        <v>262</v>
      </c>
      <c r="J259" s="11">
        <f t="shared" si="9"/>
        <v>42.8594798</v>
      </c>
      <c r="K259" s="13">
        <f t="shared" si="12"/>
        <v>5915.2264</v>
      </c>
      <c r="L259" s="11">
        <f t="shared" si="13"/>
        <v>1556.982761</v>
      </c>
      <c r="M259" s="11">
        <f t="shared" si="5"/>
        <v>40.49841644</v>
      </c>
      <c r="N259" s="12">
        <f t="shared" si="6"/>
        <v>0.09433721513</v>
      </c>
      <c r="P259" s="11">
        <f t="shared" si="15"/>
        <v>42.02665851</v>
      </c>
    </row>
    <row r="260">
      <c r="A260" s="20">
        <v>42535.0</v>
      </c>
      <c r="B260" s="16" t="s">
        <v>314</v>
      </c>
      <c r="C260" s="16" t="s">
        <v>315</v>
      </c>
      <c r="D260" s="16" t="s">
        <v>21</v>
      </c>
      <c r="E260" s="4">
        <v>2.849</v>
      </c>
      <c r="F260" s="16">
        <v>62962.0</v>
      </c>
      <c r="G260" s="5">
        <v>6.414</v>
      </c>
      <c r="H260" s="4">
        <v>18.27</v>
      </c>
      <c r="I260" s="10">
        <f t="shared" si="10"/>
        <v>259</v>
      </c>
      <c r="J260" s="11">
        <f t="shared" si="9"/>
        <v>40.38041784</v>
      </c>
      <c r="K260" s="13">
        <f t="shared" si="12"/>
        <v>5933.4964</v>
      </c>
      <c r="L260" s="11">
        <f t="shared" si="13"/>
        <v>1563.396761</v>
      </c>
      <c r="M260" s="11">
        <f t="shared" si="5"/>
        <v>40.49792963</v>
      </c>
      <c r="N260" s="12">
        <f t="shared" si="6"/>
        <v>0.09423932531</v>
      </c>
      <c r="P260" s="11">
        <f t="shared" si="15"/>
        <v>41.8946825</v>
      </c>
    </row>
    <row r="261">
      <c r="A261" s="20">
        <v>42536.0</v>
      </c>
      <c r="B261" s="16" t="s">
        <v>206</v>
      </c>
      <c r="C261" s="16" t="s">
        <v>86</v>
      </c>
      <c r="D261" s="16" t="s">
        <v>184</v>
      </c>
      <c r="E261" s="4">
        <v>2.739</v>
      </c>
      <c r="F261" s="16">
        <v>63199.0</v>
      </c>
      <c r="G261" s="5">
        <v>6.598</v>
      </c>
      <c r="H261" s="4">
        <v>18.07</v>
      </c>
      <c r="I261" s="10">
        <f t="shared" si="10"/>
        <v>237</v>
      </c>
      <c r="J261" s="11">
        <f t="shared" si="9"/>
        <v>35.91997575</v>
      </c>
      <c r="K261" s="13">
        <f t="shared" si="12"/>
        <v>5951.5664</v>
      </c>
      <c r="L261" s="11">
        <f t="shared" si="13"/>
        <v>1569.994761</v>
      </c>
      <c r="M261" s="11">
        <f t="shared" si="5"/>
        <v>40.47858329</v>
      </c>
      <c r="N261" s="12">
        <f t="shared" si="6"/>
        <v>0.09417184449</v>
      </c>
      <c r="P261" s="11">
        <f t="shared" si="15"/>
        <v>40.3955664</v>
      </c>
    </row>
    <row r="262">
      <c r="A262" s="20">
        <v>42537.0</v>
      </c>
      <c r="B262" s="16" t="s">
        <v>316</v>
      </c>
      <c r="C262" s="16" t="s">
        <v>266</v>
      </c>
      <c r="D262" s="16" t="s">
        <v>73</v>
      </c>
      <c r="E262" s="4">
        <v>2.959</v>
      </c>
      <c r="F262" s="16">
        <v>63463.0</v>
      </c>
      <c r="G262" s="5">
        <v>6.194</v>
      </c>
      <c r="H262" s="4">
        <v>18.33</v>
      </c>
      <c r="I262" s="10">
        <f t="shared" si="10"/>
        <v>264</v>
      </c>
      <c r="J262" s="11">
        <f t="shared" si="9"/>
        <v>42.62189215</v>
      </c>
      <c r="K262" s="13">
        <f t="shared" si="12"/>
        <v>5969.8964</v>
      </c>
      <c r="L262" s="11">
        <f t="shared" si="13"/>
        <v>1576.188761</v>
      </c>
      <c r="M262" s="11">
        <f t="shared" si="5"/>
        <v>40.48705266</v>
      </c>
      <c r="N262" s="12">
        <f t="shared" si="6"/>
        <v>0.09406892835</v>
      </c>
      <c r="P262" s="11">
        <f t="shared" si="15"/>
        <v>40.33883602</v>
      </c>
    </row>
    <row r="263">
      <c r="A263" s="20">
        <v>42538.0</v>
      </c>
      <c r="B263" s="16" t="s">
        <v>317</v>
      </c>
      <c r="C263" s="16" t="s">
        <v>75</v>
      </c>
      <c r="D263" s="16" t="s">
        <v>318</v>
      </c>
      <c r="E263" s="4">
        <v>2.559</v>
      </c>
      <c r="F263" s="16">
        <v>63725.0</v>
      </c>
      <c r="G263" s="5">
        <v>6.582</v>
      </c>
      <c r="H263" s="4">
        <v>16.84</v>
      </c>
      <c r="I263" s="10">
        <f t="shared" si="10"/>
        <v>262</v>
      </c>
      <c r="J263" s="11">
        <f t="shared" si="9"/>
        <v>39.80553023</v>
      </c>
      <c r="K263" s="13">
        <f t="shared" si="12"/>
        <v>5986.7364</v>
      </c>
      <c r="L263" s="11">
        <f t="shared" si="13"/>
        <v>1582.770761</v>
      </c>
      <c r="M263" s="11">
        <f t="shared" si="5"/>
        <v>40.48420287</v>
      </c>
      <c r="N263" s="12">
        <f t="shared" si="6"/>
        <v>0.09394643233</v>
      </c>
      <c r="P263" s="11">
        <f t="shared" si="15"/>
        <v>40.40507104</v>
      </c>
    </row>
    <row r="264">
      <c r="A264" s="20">
        <v>42539.0</v>
      </c>
      <c r="B264" s="16" t="s">
        <v>150</v>
      </c>
      <c r="C264" s="16" t="s">
        <v>49</v>
      </c>
      <c r="D264" s="16" t="s">
        <v>148</v>
      </c>
      <c r="E264" s="4">
        <v>2.529</v>
      </c>
      <c r="F264" s="16">
        <v>63965.0</v>
      </c>
      <c r="G264" s="5">
        <v>6.226</v>
      </c>
      <c r="H264" s="4">
        <v>15.75</v>
      </c>
      <c r="I264" s="10">
        <f t="shared" si="10"/>
        <v>240</v>
      </c>
      <c r="J264" s="11">
        <f t="shared" si="9"/>
        <v>38.54802441</v>
      </c>
      <c r="K264" s="13">
        <f t="shared" si="12"/>
        <v>6002.4864</v>
      </c>
      <c r="L264" s="11">
        <f t="shared" si="13"/>
        <v>1588.996761</v>
      </c>
      <c r="M264" s="11">
        <f t="shared" si="5"/>
        <v>40.47657478</v>
      </c>
      <c r="N264" s="12">
        <f t="shared" si="6"/>
        <v>0.09384016884</v>
      </c>
      <c r="P264" s="11">
        <f t="shared" si="15"/>
        <v>39.97167362</v>
      </c>
    </row>
    <row r="265">
      <c r="A265" s="20">
        <v>42540.0</v>
      </c>
      <c r="B265" s="16" t="s">
        <v>319</v>
      </c>
      <c r="C265" s="16" t="s">
        <v>45</v>
      </c>
      <c r="D265" s="16" t="s">
        <v>21</v>
      </c>
      <c r="E265" s="4">
        <v>2.959</v>
      </c>
      <c r="F265" s="16">
        <v>64246.0</v>
      </c>
      <c r="G265" s="5">
        <v>7.241</v>
      </c>
      <c r="H265" s="4">
        <v>21.43</v>
      </c>
      <c r="I265" s="10">
        <f t="shared" si="10"/>
        <v>281</v>
      </c>
      <c r="J265" s="11">
        <f t="shared" si="9"/>
        <v>38.80679464</v>
      </c>
      <c r="K265" s="13">
        <f t="shared" si="12"/>
        <v>6023.9164</v>
      </c>
      <c r="L265" s="11">
        <f t="shared" si="13"/>
        <v>1596.237761</v>
      </c>
      <c r="M265" s="11">
        <f t="shared" si="5"/>
        <v>40.46895866</v>
      </c>
      <c r="N265" s="12">
        <f t="shared" si="6"/>
        <v>0.0937632911</v>
      </c>
      <c r="P265" s="11">
        <f t="shared" si="15"/>
        <v>39.30709464</v>
      </c>
    </row>
    <row r="266">
      <c r="A266" s="20">
        <v>42540.0</v>
      </c>
      <c r="B266" s="16" t="s">
        <v>320</v>
      </c>
      <c r="C266" s="16" t="s">
        <v>45</v>
      </c>
      <c r="D266" s="16" t="s">
        <v>21</v>
      </c>
      <c r="E266" s="4">
        <v>2.799</v>
      </c>
      <c r="F266" s="16">
        <v>64457.0</v>
      </c>
      <c r="G266" s="5">
        <v>6.42</v>
      </c>
      <c r="H266" s="4">
        <v>17.97</v>
      </c>
      <c r="I266" s="10">
        <f t="shared" si="10"/>
        <v>211</v>
      </c>
      <c r="J266" s="11">
        <f t="shared" si="9"/>
        <v>32.86604361</v>
      </c>
      <c r="K266" s="13">
        <f t="shared" si="12"/>
        <v>6041.8864</v>
      </c>
      <c r="L266" s="11">
        <f t="shared" si="13"/>
        <v>1602.657761</v>
      </c>
      <c r="M266" s="11">
        <f t="shared" si="5"/>
        <v>40.43833632</v>
      </c>
      <c r="N266" s="12">
        <f t="shared" si="6"/>
        <v>0.09373514746</v>
      </c>
      <c r="P266" s="11">
        <f t="shared" si="15"/>
        <v>38.07850029</v>
      </c>
    </row>
    <row r="267">
      <c r="A267" s="20">
        <v>42540.0</v>
      </c>
      <c r="B267" s="16" t="s">
        <v>321</v>
      </c>
      <c r="C267" s="16" t="s">
        <v>154</v>
      </c>
      <c r="D267" s="16" t="s">
        <v>21</v>
      </c>
      <c r="E267" s="4">
        <v>2.939</v>
      </c>
      <c r="F267" s="16">
        <v>64678.0</v>
      </c>
      <c r="G267" s="5">
        <v>6.449</v>
      </c>
      <c r="H267" s="4">
        <v>18.95</v>
      </c>
      <c r="I267" s="10">
        <f t="shared" si="10"/>
        <v>221</v>
      </c>
      <c r="J267" s="11">
        <f t="shared" si="9"/>
        <v>34.2688789</v>
      </c>
      <c r="K267" s="13">
        <f t="shared" si="12"/>
        <v>6060.8364</v>
      </c>
      <c r="L267" s="11">
        <f t="shared" si="13"/>
        <v>1609.106761</v>
      </c>
      <c r="M267" s="11">
        <f t="shared" si="5"/>
        <v>40.41347587</v>
      </c>
      <c r="N267" s="12">
        <f t="shared" si="6"/>
        <v>0.0937078512</v>
      </c>
      <c r="P267" s="11">
        <f t="shared" si="15"/>
        <v>37.81448149</v>
      </c>
    </row>
    <row r="268">
      <c r="A268" s="20">
        <v>42541.0</v>
      </c>
      <c r="B268" s="16" t="s">
        <v>299</v>
      </c>
      <c r="C268" s="16" t="s">
        <v>154</v>
      </c>
      <c r="D268" s="16" t="s">
        <v>284</v>
      </c>
      <c r="E268" s="4">
        <v>2.659</v>
      </c>
      <c r="F268" s="16">
        <v>64881.0</v>
      </c>
      <c r="G268" s="5">
        <v>4.981</v>
      </c>
      <c r="H268" s="4">
        <v>13.24</v>
      </c>
      <c r="I268" s="10">
        <f t="shared" si="10"/>
        <v>203</v>
      </c>
      <c r="J268" s="11">
        <f t="shared" si="9"/>
        <v>40.7548685</v>
      </c>
      <c r="K268" s="13">
        <f t="shared" si="12"/>
        <v>6074.0764</v>
      </c>
      <c r="L268" s="11">
        <f t="shared" si="13"/>
        <v>1614.087761</v>
      </c>
      <c r="M268" s="11">
        <f t="shared" si="5"/>
        <v>40.4145351</v>
      </c>
      <c r="N268" s="12">
        <f t="shared" si="6"/>
        <v>0.09361872351</v>
      </c>
      <c r="P268" s="11">
        <f t="shared" si="15"/>
        <v>37.41523523</v>
      </c>
    </row>
    <row r="269">
      <c r="A269" s="20">
        <v>42542.0</v>
      </c>
      <c r="B269" s="16" t="s">
        <v>159</v>
      </c>
      <c r="C269" s="16" t="s">
        <v>158</v>
      </c>
      <c r="D269" s="16" t="s">
        <v>189</v>
      </c>
      <c r="E269" s="4">
        <v>2.599</v>
      </c>
      <c r="F269" s="16">
        <v>65088.0</v>
      </c>
      <c r="G269" s="5">
        <v>4.224</v>
      </c>
      <c r="H269" s="4">
        <v>10.98</v>
      </c>
      <c r="I269" s="10">
        <f t="shared" si="10"/>
        <v>207</v>
      </c>
      <c r="J269" s="11">
        <f t="shared" si="9"/>
        <v>49.00568182</v>
      </c>
      <c r="K269" s="13">
        <f t="shared" si="12"/>
        <v>6085.0564</v>
      </c>
      <c r="L269" s="11">
        <f t="shared" si="13"/>
        <v>1618.311761</v>
      </c>
      <c r="M269" s="11">
        <f t="shared" si="5"/>
        <v>40.43708029</v>
      </c>
      <c r="N269" s="12">
        <f t="shared" si="6"/>
        <v>0.09348968166</v>
      </c>
      <c r="P269" s="11">
        <f t="shared" si="15"/>
        <v>38.35007456</v>
      </c>
    </row>
    <row r="270">
      <c r="A270" s="20">
        <v>42543.0</v>
      </c>
      <c r="B270" s="16" t="s">
        <v>222</v>
      </c>
      <c r="C270" s="16" t="s">
        <v>158</v>
      </c>
      <c r="D270" s="16" t="s">
        <v>189</v>
      </c>
      <c r="E270" s="4">
        <v>2.689</v>
      </c>
      <c r="F270" s="16">
        <v>65370.0</v>
      </c>
      <c r="G270" s="5">
        <v>7.239</v>
      </c>
      <c r="H270" s="4">
        <v>19.47</v>
      </c>
      <c r="I270" s="10">
        <f t="shared" si="10"/>
        <v>282</v>
      </c>
      <c r="J270" s="11">
        <f t="shared" si="9"/>
        <v>38.95565686</v>
      </c>
      <c r="K270" s="13">
        <f t="shared" si="12"/>
        <v>6104.5264</v>
      </c>
      <c r="L270" s="11">
        <f t="shared" si="13"/>
        <v>1625.550761</v>
      </c>
      <c r="M270" s="11">
        <f t="shared" si="5"/>
        <v>40.43044763</v>
      </c>
      <c r="N270" s="12">
        <f t="shared" si="6"/>
        <v>0.09338421906</v>
      </c>
      <c r="P270" s="11">
        <f t="shared" si="15"/>
        <v>38.43628604</v>
      </c>
    </row>
    <row r="271">
      <c r="A271" s="20">
        <v>42543.0</v>
      </c>
      <c r="B271" s="16" t="s">
        <v>164</v>
      </c>
      <c r="C271" s="16" t="s">
        <v>17</v>
      </c>
      <c r="D271" s="16" t="s">
        <v>104</v>
      </c>
      <c r="E271" s="4">
        <v>3.389</v>
      </c>
      <c r="F271" s="16">
        <v>65637.0</v>
      </c>
      <c r="G271" s="5">
        <v>7.327</v>
      </c>
      <c r="H271" s="4">
        <v>24.83</v>
      </c>
      <c r="I271" s="10">
        <f t="shared" si="10"/>
        <v>267</v>
      </c>
      <c r="J271" s="11">
        <f t="shared" si="9"/>
        <v>36.4405623</v>
      </c>
      <c r="K271" s="13">
        <f t="shared" si="12"/>
        <v>6129.3564</v>
      </c>
      <c r="L271" s="11">
        <f t="shared" si="13"/>
        <v>1632.877761</v>
      </c>
      <c r="M271" s="11">
        <f t="shared" si="5"/>
        <v>40.41244844</v>
      </c>
      <c r="N271" s="12">
        <f t="shared" si="6"/>
        <v>0.09338264089</v>
      </c>
      <c r="P271" s="11">
        <f t="shared" si="15"/>
        <v>37.9639738</v>
      </c>
    </row>
    <row r="272">
      <c r="A272" s="20">
        <v>42546.0</v>
      </c>
      <c r="B272" s="16" t="s">
        <v>171</v>
      </c>
      <c r="C272" s="16" t="s">
        <v>322</v>
      </c>
      <c r="D272" s="16" t="s">
        <v>21</v>
      </c>
      <c r="E272" s="4">
        <v>2.959</v>
      </c>
      <c r="F272" s="16">
        <v>65789.0</v>
      </c>
      <c r="G272" s="5">
        <v>3.591</v>
      </c>
      <c r="H272" s="4">
        <v>10.63</v>
      </c>
      <c r="I272" s="10">
        <f t="shared" si="10"/>
        <v>152</v>
      </c>
      <c r="J272" s="11">
        <f t="shared" si="9"/>
        <v>42.32804233</v>
      </c>
      <c r="K272" s="13">
        <f t="shared" si="12"/>
        <v>6139.9864</v>
      </c>
      <c r="L272" s="11">
        <f t="shared" si="13"/>
        <v>1636.468761</v>
      </c>
      <c r="M272" s="11">
        <f t="shared" si="5"/>
        <v>40.4166744</v>
      </c>
      <c r="N272" s="12">
        <f t="shared" si="6"/>
        <v>0.09332846524</v>
      </c>
      <c r="O272" s="16" t="s">
        <v>323</v>
      </c>
      <c r="P272" s="11">
        <f t="shared" si="15"/>
        <v>39.39546301</v>
      </c>
    </row>
    <row r="273">
      <c r="A273" s="20">
        <v>42569.0</v>
      </c>
      <c r="B273" s="16" t="s">
        <v>20</v>
      </c>
      <c r="C273" s="16" t="s">
        <v>17</v>
      </c>
      <c r="D273" s="16" t="s">
        <v>284</v>
      </c>
      <c r="E273" s="4">
        <v>2.729</v>
      </c>
      <c r="F273" s="16">
        <v>66007.0</v>
      </c>
      <c r="G273" s="16">
        <v>5.928</v>
      </c>
      <c r="H273" s="4">
        <v>16.18</v>
      </c>
      <c r="I273" s="10">
        <f t="shared" si="10"/>
        <v>218</v>
      </c>
      <c r="J273" s="11">
        <f t="shared" si="9"/>
        <v>36.77462888</v>
      </c>
      <c r="K273" s="13">
        <f t="shared" si="12"/>
        <v>6156.1664</v>
      </c>
      <c r="L273" s="11">
        <f t="shared" si="13"/>
        <v>1642.396761</v>
      </c>
      <c r="M273" s="11">
        <f t="shared" si="5"/>
        <v>40.40345895</v>
      </c>
      <c r="N273" s="12">
        <f t="shared" si="6"/>
        <v>0.0932653567</v>
      </c>
      <c r="P273" s="11">
        <f t="shared" si="15"/>
        <v>39.92189847</v>
      </c>
    </row>
    <row r="274">
      <c r="A274" s="20">
        <v>42584.0</v>
      </c>
      <c r="B274" s="16" t="s">
        <v>20</v>
      </c>
      <c r="C274" s="16" t="s">
        <v>17</v>
      </c>
      <c r="D274" s="16" t="s">
        <v>21</v>
      </c>
      <c r="E274" s="4">
        <v>2.959</v>
      </c>
      <c r="F274" s="16">
        <v>66242.0</v>
      </c>
      <c r="G274" s="16">
        <v>6.921</v>
      </c>
      <c r="H274" s="4">
        <v>20.48</v>
      </c>
      <c r="I274" s="10">
        <f t="shared" si="10"/>
        <v>235</v>
      </c>
      <c r="J274" s="11">
        <f t="shared" si="9"/>
        <v>33.95463083</v>
      </c>
      <c r="K274" s="13">
        <f t="shared" si="12"/>
        <v>6176.6464</v>
      </c>
      <c r="L274" s="11">
        <f t="shared" si="13"/>
        <v>1649.317761</v>
      </c>
      <c r="M274" s="11">
        <f t="shared" si="5"/>
        <v>40.37625435</v>
      </c>
      <c r="N274" s="12">
        <f t="shared" si="6"/>
        <v>0.0932436581</v>
      </c>
      <c r="P274" s="11">
        <f t="shared" si="15"/>
        <v>38.63184786</v>
      </c>
    </row>
    <row r="275">
      <c r="A275" s="20">
        <v>42599.0</v>
      </c>
      <c r="B275" s="16" t="s">
        <v>96</v>
      </c>
      <c r="C275" s="16" t="s">
        <v>17</v>
      </c>
      <c r="D275" s="16" t="s">
        <v>284</v>
      </c>
      <c r="E275" s="4">
        <v>2.579</v>
      </c>
      <c r="F275" s="16">
        <v>66373.0</v>
      </c>
      <c r="G275" s="16">
        <v>5.195</v>
      </c>
      <c r="H275" s="4">
        <v>13.4</v>
      </c>
      <c r="I275" s="10">
        <f t="shared" si="10"/>
        <v>131</v>
      </c>
      <c r="J275" s="11">
        <f t="shared" si="9"/>
        <v>25.21655438</v>
      </c>
      <c r="K275" s="13">
        <f t="shared" si="12"/>
        <v>6190.0464</v>
      </c>
      <c r="L275" s="11">
        <f t="shared" si="13"/>
        <v>1654.512761</v>
      </c>
      <c r="M275" s="11">
        <f t="shared" si="5"/>
        <v>40.32840283</v>
      </c>
      <c r="N275" s="12">
        <f t="shared" si="6"/>
        <v>0.09326151296</v>
      </c>
      <c r="P275" s="11">
        <f t="shared" si="15"/>
        <v>35.49625701</v>
      </c>
    </row>
    <row r="276">
      <c r="A276" s="20">
        <v>42635.0</v>
      </c>
      <c r="B276" s="16" t="s">
        <v>96</v>
      </c>
      <c r="C276" s="16" t="s">
        <v>17</v>
      </c>
      <c r="D276" s="16" t="s">
        <v>284</v>
      </c>
      <c r="E276" s="4">
        <v>2.759</v>
      </c>
      <c r="F276" s="16">
        <v>66589.0</v>
      </c>
      <c r="G276" s="16">
        <v>6.91</v>
      </c>
      <c r="H276" s="4">
        <v>19.06</v>
      </c>
      <c r="I276" s="10">
        <f t="shared" si="10"/>
        <v>216</v>
      </c>
      <c r="J276" s="11">
        <f t="shared" si="9"/>
        <v>31.25904486</v>
      </c>
      <c r="K276" s="13">
        <f t="shared" si="12"/>
        <v>6209.1064</v>
      </c>
      <c r="L276" s="11">
        <f t="shared" si="13"/>
        <v>1661.422761</v>
      </c>
      <c r="M276" s="11">
        <f t="shared" si="5"/>
        <v>40.29048403</v>
      </c>
      <c r="N276" s="12">
        <f t="shared" si="6"/>
        <v>0.09324522669</v>
      </c>
      <c r="P276" s="11">
        <f t="shared" si="15"/>
        <v>33.98193577</v>
      </c>
    </row>
    <row r="277">
      <c r="A277" s="20">
        <v>42637.0</v>
      </c>
      <c r="B277" s="16" t="s">
        <v>166</v>
      </c>
      <c r="C277" s="16" t="s">
        <v>17</v>
      </c>
      <c r="D277" s="16" t="s">
        <v>104</v>
      </c>
      <c r="E277" s="4">
        <v>3.199</v>
      </c>
      <c r="F277" s="16">
        <v>66843.0</v>
      </c>
      <c r="G277" s="16">
        <v>6.798</v>
      </c>
      <c r="H277" s="4">
        <v>21.74</v>
      </c>
      <c r="I277" s="10">
        <f t="shared" si="10"/>
        <v>254</v>
      </c>
      <c r="J277" s="11">
        <f t="shared" si="9"/>
        <v>37.36393057</v>
      </c>
      <c r="K277" s="13">
        <f t="shared" si="12"/>
        <v>6230.8464</v>
      </c>
      <c r="L277" s="11">
        <f t="shared" si="13"/>
        <v>1668.220761</v>
      </c>
      <c r="M277" s="11">
        <f t="shared" si="5"/>
        <v>40.27849581</v>
      </c>
      <c r="N277" s="12">
        <f t="shared" si="6"/>
        <v>0.09321613931</v>
      </c>
      <c r="P277" s="11">
        <f t="shared" si="15"/>
        <v>34.12274001</v>
      </c>
    </row>
    <row r="278">
      <c r="A278" s="20">
        <v>42638.0</v>
      </c>
      <c r="B278" s="16" t="s">
        <v>324</v>
      </c>
      <c r="C278" s="16" t="s">
        <v>17</v>
      </c>
      <c r="D278" s="16" t="s">
        <v>284</v>
      </c>
      <c r="E278" s="4">
        <v>2.779</v>
      </c>
      <c r="F278" s="16">
        <v>67111.0</v>
      </c>
      <c r="G278" s="16">
        <v>6.916</v>
      </c>
      <c r="H278" s="4">
        <v>19.22</v>
      </c>
      <c r="I278" s="10">
        <f t="shared" si="10"/>
        <v>268</v>
      </c>
      <c r="J278" s="11">
        <f t="shared" si="9"/>
        <v>38.75072296</v>
      </c>
      <c r="K278" s="13">
        <f t="shared" si="12"/>
        <v>6250.0664</v>
      </c>
      <c r="L278" s="11">
        <f t="shared" si="13"/>
        <v>1675.136761</v>
      </c>
      <c r="M278" s="11">
        <f t="shared" si="5"/>
        <v>40.27215529</v>
      </c>
      <c r="N278" s="12">
        <f t="shared" si="6"/>
        <v>0.09313028267</v>
      </c>
      <c r="P278" s="11">
        <f t="shared" si="15"/>
        <v>34.18847626</v>
      </c>
    </row>
    <row r="279">
      <c r="A279" s="20">
        <v>42639.0</v>
      </c>
      <c r="B279" s="16" t="s">
        <v>325</v>
      </c>
      <c r="C279" s="16" t="s">
        <v>17</v>
      </c>
      <c r="D279" s="16" t="s">
        <v>326</v>
      </c>
      <c r="E279" s="4">
        <v>3.009</v>
      </c>
      <c r="F279" s="16">
        <v>67408.0</v>
      </c>
      <c r="G279" s="16">
        <v>6.834</v>
      </c>
      <c r="H279" s="4">
        <v>21.18</v>
      </c>
      <c r="I279" s="10">
        <f t="shared" si="10"/>
        <v>297</v>
      </c>
      <c r="J279" s="11">
        <f t="shared" si="9"/>
        <v>43.45917471</v>
      </c>
      <c r="K279" s="13">
        <f t="shared" si="12"/>
        <v>6271.2464</v>
      </c>
      <c r="L279" s="11">
        <f t="shared" si="13"/>
        <v>1681.970761</v>
      </c>
      <c r="M279" s="11">
        <f t="shared" si="5"/>
        <v>40.28517176</v>
      </c>
      <c r="N279" s="12">
        <f t="shared" si="6"/>
        <v>0.09303415618</v>
      </c>
      <c r="P279" s="11">
        <f t="shared" si="15"/>
        <v>35.40203164</v>
      </c>
    </row>
    <row r="280">
      <c r="A280" s="20">
        <v>42640.0</v>
      </c>
      <c r="B280" s="16" t="s">
        <v>327</v>
      </c>
      <c r="C280" s="16" t="s">
        <v>230</v>
      </c>
      <c r="D280" s="16" t="s">
        <v>65</v>
      </c>
      <c r="E280" s="4">
        <v>2.699</v>
      </c>
      <c r="F280" s="16">
        <v>67691.0</v>
      </c>
      <c r="G280" s="16">
        <v>6.872</v>
      </c>
      <c r="H280" s="4">
        <v>18.55</v>
      </c>
      <c r="I280" s="10">
        <f t="shared" si="10"/>
        <v>283</v>
      </c>
      <c r="J280" s="11">
        <f t="shared" si="9"/>
        <v>41.18160652</v>
      </c>
      <c r="K280" s="13">
        <f t="shared" si="12"/>
        <v>6289.7964</v>
      </c>
      <c r="L280" s="11">
        <f t="shared" si="13"/>
        <v>1688.842761</v>
      </c>
      <c r="M280" s="11">
        <f t="shared" si="5"/>
        <v>40.2888383</v>
      </c>
      <c r="N280" s="12">
        <f t="shared" si="6"/>
        <v>0.09291924185</v>
      </c>
      <c r="O280" s="16" t="s">
        <v>328</v>
      </c>
      <c r="P280" s="11">
        <f t="shared" si="15"/>
        <v>36.66034156</v>
      </c>
    </row>
    <row r="281">
      <c r="A281" s="20">
        <v>42733.0</v>
      </c>
      <c r="B281" s="16" t="s">
        <v>329</v>
      </c>
      <c r="C281" s="16" t="s">
        <v>230</v>
      </c>
      <c r="D281" s="16" t="s">
        <v>104</v>
      </c>
      <c r="E281" s="4">
        <v>2.929</v>
      </c>
      <c r="F281" s="16">
        <v>67929.0</v>
      </c>
      <c r="G281" s="16">
        <v>6.435</v>
      </c>
      <c r="H281" s="4">
        <v>18.85</v>
      </c>
      <c r="I281" s="10">
        <f t="shared" si="10"/>
        <v>238</v>
      </c>
      <c r="J281" s="11">
        <f t="shared" si="9"/>
        <v>36.98523699</v>
      </c>
      <c r="K281" s="13">
        <f t="shared" si="12"/>
        <v>6308.6464</v>
      </c>
      <c r="L281" s="11">
        <f t="shared" si="13"/>
        <v>1695.277761</v>
      </c>
      <c r="M281" s="11">
        <f t="shared" si="5"/>
        <v>40.27623368</v>
      </c>
      <c r="N281" s="12">
        <f t="shared" si="6"/>
        <v>0.0928711802</v>
      </c>
      <c r="P281" s="11">
        <f t="shared" si="15"/>
        <v>38.16999877</v>
      </c>
    </row>
    <row r="282">
      <c r="A282" s="20">
        <v>42741.0</v>
      </c>
      <c r="B282" s="16" t="s">
        <v>330</v>
      </c>
      <c r="C282" s="16" t="s">
        <v>17</v>
      </c>
      <c r="D282" s="16" t="s">
        <v>104</v>
      </c>
      <c r="E282" s="4">
        <v>3.199</v>
      </c>
      <c r="F282" s="16">
        <v>68197.0</v>
      </c>
      <c r="G282" s="16">
        <v>6.06</v>
      </c>
      <c r="H282" s="4">
        <v>19.39</v>
      </c>
      <c r="I282" s="10">
        <f t="shared" si="10"/>
        <v>268</v>
      </c>
      <c r="J282" s="11">
        <f t="shared" si="9"/>
        <v>44.22442244</v>
      </c>
      <c r="K282" s="13">
        <f t="shared" si="12"/>
        <v>6328.0364</v>
      </c>
      <c r="L282" s="11">
        <f t="shared" si="13"/>
        <v>1701.337761</v>
      </c>
      <c r="M282" s="11">
        <f t="shared" si="5"/>
        <v>40.29036902</v>
      </c>
      <c r="N282" s="12">
        <f t="shared" si="6"/>
        <v>0.09279053917</v>
      </c>
      <c r="P282" s="11">
        <f t="shared" si="15"/>
        <v>40.28560691</v>
      </c>
    </row>
    <row r="283">
      <c r="A283" s="20">
        <v>42741.0</v>
      </c>
      <c r="B283" s="16" t="s">
        <v>135</v>
      </c>
      <c r="C283" s="16" t="s">
        <v>17</v>
      </c>
      <c r="D283" s="16" t="s">
        <v>104</v>
      </c>
      <c r="E283" s="4">
        <v>3.099</v>
      </c>
      <c r="F283" s="16">
        <v>68484.0</v>
      </c>
      <c r="G283" s="16">
        <v>7.603</v>
      </c>
      <c r="H283" s="4">
        <v>23.56</v>
      </c>
      <c r="I283" s="10">
        <f t="shared" si="10"/>
        <v>287</v>
      </c>
      <c r="J283" s="11">
        <f t="shared" si="9"/>
        <v>37.74825727</v>
      </c>
      <c r="K283" s="13">
        <f t="shared" si="12"/>
        <v>6351.5964</v>
      </c>
      <c r="L283" s="11">
        <f t="shared" si="13"/>
        <v>1708.940761</v>
      </c>
      <c r="M283" s="11">
        <f t="shared" si="5"/>
        <v>40.27900141</v>
      </c>
      <c r="N283" s="12">
        <f t="shared" si="6"/>
        <v>0.09274569827</v>
      </c>
      <c r="P283" s="11">
        <f t="shared" si="15"/>
        <v>40.29960707</v>
      </c>
    </row>
    <row r="284">
      <c r="A284" s="20">
        <v>42741.0</v>
      </c>
      <c r="B284" s="16" t="s">
        <v>331</v>
      </c>
      <c r="C284" s="16" t="s">
        <v>17</v>
      </c>
      <c r="D284" s="16" t="s">
        <v>104</v>
      </c>
      <c r="E284" s="4">
        <v>3.199</v>
      </c>
      <c r="F284" s="16">
        <v>68731.0</v>
      </c>
      <c r="G284" s="16">
        <v>5.915</v>
      </c>
      <c r="H284" s="4">
        <v>18.92</v>
      </c>
      <c r="I284" s="10">
        <f t="shared" si="10"/>
        <v>247</v>
      </c>
      <c r="J284" s="11">
        <f t="shared" si="9"/>
        <v>41.75824176</v>
      </c>
      <c r="K284" s="13">
        <f t="shared" si="12"/>
        <v>6370.5164</v>
      </c>
      <c r="L284" s="11">
        <f t="shared" si="13"/>
        <v>1714.855761</v>
      </c>
      <c r="M284" s="11">
        <f t="shared" si="5"/>
        <v>40.28412973</v>
      </c>
      <c r="N284" s="12">
        <f t="shared" si="6"/>
        <v>0.09268767223</v>
      </c>
      <c r="P284" s="11">
        <f t="shared" si="15"/>
        <v>40.78652534</v>
      </c>
    </row>
    <row r="285">
      <c r="A285" s="20">
        <v>42742.0</v>
      </c>
      <c r="B285" s="16" t="s">
        <v>165</v>
      </c>
      <c r="C285" s="16" t="s">
        <v>17</v>
      </c>
      <c r="D285" s="16" t="s">
        <v>284</v>
      </c>
      <c r="E285" s="4">
        <v>2.739</v>
      </c>
      <c r="F285" s="16">
        <v>68911.0</v>
      </c>
      <c r="G285" s="16">
        <v>6.283</v>
      </c>
      <c r="H285" s="4">
        <v>17.21</v>
      </c>
      <c r="I285" s="10">
        <f t="shared" si="10"/>
        <v>180</v>
      </c>
      <c r="J285" s="11">
        <f t="shared" si="9"/>
        <v>28.64873468</v>
      </c>
      <c r="K285" s="13">
        <f t="shared" si="12"/>
        <v>6387.7264</v>
      </c>
      <c r="L285" s="11">
        <f t="shared" si="13"/>
        <v>1721.138761</v>
      </c>
      <c r="M285" s="11">
        <f t="shared" si="5"/>
        <v>40.24143904</v>
      </c>
      <c r="N285" s="12">
        <f t="shared" si="6"/>
        <v>0.09269530844</v>
      </c>
      <c r="P285" s="11">
        <f t="shared" si="15"/>
        <v>38.37316176</v>
      </c>
    </row>
    <row r="286">
      <c r="A286" s="20">
        <v>42746.0</v>
      </c>
      <c r="B286" s="16" t="s">
        <v>96</v>
      </c>
      <c r="C286" s="16" t="s">
        <v>17</v>
      </c>
      <c r="D286" s="16" t="s">
        <v>284</v>
      </c>
      <c r="E286" s="4">
        <v>2.899</v>
      </c>
      <c r="F286" s="16">
        <v>69179.0</v>
      </c>
      <c r="G286" s="16">
        <v>6.227</v>
      </c>
      <c r="H286" s="4">
        <v>18.05</v>
      </c>
      <c r="I286" s="10">
        <f t="shared" si="10"/>
        <v>268</v>
      </c>
      <c r="J286" s="11">
        <f t="shared" si="9"/>
        <v>43.03838124</v>
      </c>
      <c r="K286" s="13">
        <f t="shared" si="12"/>
        <v>6405.7764</v>
      </c>
      <c r="L286" s="11">
        <f t="shared" si="13"/>
        <v>1727.365761</v>
      </c>
      <c r="M286" s="11">
        <f t="shared" si="5"/>
        <v>40.25157281</v>
      </c>
      <c r="N286" s="12">
        <f t="shared" si="6"/>
        <v>0.0925971234</v>
      </c>
      <c r="P286" s="11">
        <f t="shared" si="15"/>
        <v>38.62627521</v>
      </c>
    </row>
    <row r="287">
      <c r="A287" s="20">
        <v>42753.0</v>
      </c>
      <c r="B287" s="16" t="s">
        <v>165</v>
      </c>
      <c r="C287" s="16" t="s">
        <v>17</v>
      </c>
      <c r="E287" s="4">
        <v>2.719</v>
      </c>
      <c r="F287" s="16">
        <v>69419.0</v>
      </c>
      <c r="G287" s="16">
        <v>6.233</v>
      </c>
      <c r="H287" s="4">
        <v>16.95</v>
      </c>
      <c r="I287" s="10">
        <f t="shared" si="10"/>
        <v>240</v>
      </c>
      <c r="J287" s="11">
        <f t="shared" si="9"/>
        <v>38.50473287</v>
      </c>
      <c r="K287" s="13">
        <f t="shared" si="12"/>
        <v>6422.7264</v>
      </c>
      <c r="L287" s="11">
        <f t="shared" si="13"/>
        <v>1733.598761</v>
      </c>
      <c r="M287" s="11">
        <f t="shared" si="5"/>
        <v>40.24526053</v>
      </c>
      <c r="N287" s="12">
        <f t="shared" si="6"/>
        <v>0.09252115991</v>
      </c>
      <c r="P287" s="11">
        <f t="shared" si="15"/>
        <v>38.8820751</v>
      </c>
    </row>
    <row r="288">
      <c r="A288" s="20">
        <v>42756.0</v>
      </c>
      <c r="B288" s="16" t="s">
        <v>332</v>
      </c>
      <c r="C288" s="16" t="s">
        <v>17</v>
      </c>
      <c r="D288" s="16" t="s">
        <v>284</v>
      </c>
      <c r="E288" s="4">
        <v>2.739</v>
      </c>
      <c r="F288" s="16">
        <v>69680.0</v>
      </c>
      <c r="G288" s="16">
        <v>7.132</v>
      </c>
      <c r="H288" s="4">
        <v>19.53</v>
      </c>
      <c r="I288" s="10">
        <f t="shared" si="10"/>
        <v>261</v>
      </c>
      <c r="J288" s="11">
        <f t="shared" si="9"/>
        <v>36.59562535</v>
      </c>
      <c r="K288" s="13">
        <f t="shared" si="12"/>
        <v>6442.2564</v>
      </c>
      <c r="L288" s="11">
        <f t="shared" si="13"/>
        <v>1740.730761</v>
      </c>
      <c r="M288" s="11">
        <f t="shared" si="5"/>
        <v>40.23023239</v>
      </c>
      <c r="N288" s="12">
        <f t="shared" si="6"/>
        <v>0.09245488519</v>
      </c>
      <c r="P288" s="11">
        <f t="shared" si="15"/>
        <v>37.64628233</v>
      </c>
    </row>
    <row r="289">
      <c r="A289" s="20">
        <v>42768.0</v>
      </c>
      <c r="B289" s="16" t="s">
        <v>333</v>
      </c>
      <c r="C289" s="16" t="s">
        <v>17</v>
      </c>
      <c r="D289" s="16" t="s">
        <v>284</v>
      </c>
      <c r="E289" s="4">
        <v>2.759</v>
      </c>
      <c r="F289" s="16">
        <v>69892.0</v>
      </c>
      <c r="G289" s="16">
        <v>5.206</v>
      </c>
      <c r="H289" s="4">
        <v>14.36</v>
      </c>
      <c r="I289" s="10">
        <f t="shared" si="10"/>
        <v>212</v>
      </c>
      <c r="J289" s="11">
        <f t="shared" si="9"/>
        <v>40.72224357</v>
      </c>
      <c r="K289" s="13">
        <f t="shared" si="12"/>
        <v>6456.6164</v>
      </c>
      <c r="L289" s="11">
        <f t="shared" si="13"/>
        <v>1745.936761</v>
      </c>
      <c r="M289" s="11">
        <f t="shared" si="5"/>
        <v>40.2317068</v>
      </c>
      <c r="N289" s="12">
        <f t="shared" si="6"/>
        <v>0.09237990614</v>
      </c>
      <c r="P289" s="11">
        <f t="shared" si="15"/>
        <v>38.05816845</v>
      </c>
    </row>
    <row r="290">
      <c r="A290" s="20">
        <v>42769.0</v>
      </c>
      <c r="B290" s="16" t="s">
        <v>334</v>
      </c>
      <c r="C290" s="16" t="s">
        <v>17</v>
      </c>
      <c r="D290" s="16" t="s">
        <v>284</v>
      </c>
      <c r="E290" s="4">
        <v>2.799</v>
      </c>
      <c r="F290" s="16">
        <v>70188.0</v>
      </c>
      <c r="G290" s="16">
        <v>7.294</v>
      </c>
      <c r="H290" s="4">
        <v>20.42</v>
      </c>
      <c r="I290" s="10">
        <f t="shared" si="10"/>
        <v>296</v>
      </c>
      <c r="J290" s="11">
        <f t="shared" si="9"/>
        <v>40.5812997</v>
      </c>
      <c r="K290" s="13">
        <f t="shared" si="12"/>
        <v>6477.0364</v>
      </c>
      <c r="L290" s="11">
        <f t="shared" si="13"/>
        <v>1753.230761</v>
      </c>
      <c r="M290" s="11">
        <f t="shared" si="5"/>
        <v>40.23316847</v>
      </c>
      <c r="N290" s="12">
        <f t="shared" si="6"/>
        <v>0.09228125036</v>
      </c>
      <c r="P290" s="11">
        <f t="shared" si="15"/>
        <v>37.96742671</v>
      </c>
    </row>
    <row r="291">
      <c r="A291" s="20">
        <v>42772.0</v>
      </c>
      <c r="B291" s="16" t="s">
        <v>335</v>
      </c>
      <c r="C291" s="16" t="s">
        <v>17</v>
      </c>
      <c r="D291" s="16" t="s">
        <v>65</v>
      </c>
      <c r="E291" s="4">
        <v>2.759</v>
      </c>
      <c r="F291" s="16">
        <v>70450.0</v>
      </c>
      <c r="G291" s="16">
        <v>5.993</v>
      </c>
      <c r="H291" s="4">
        <v>16.53</v>
      </c>
      <c r="I291" s="10">
        <f t="shared" si="10"/>
        <v>262</v>
      </c>
      <c r="J291" s="11">
        <f t="shared" si="9"/>
        <v>43.71767062</v>
      </c>
      <c r="K291" s="13">
        <f t="shared" si="12"/>
        <v>6493.5664</v>
      </c>
      <c r="L291" s="11">
        <f t="shared" si="13"/>
        <v>1759.223761</v>
      </c>
      <c r="M291" s="11">
        <f t="shared" si="5"/>
        <v>40.24509783</v>
      </c>
      <c r="N291" s="12">
        <f t="shared" si="6"/>
        <v>0.09217269553</v>
      </c>
      <c r="P291" s="11">
        <f t="shared" si="15"/>
        <v>40.40961008</v>
      </c>
    </row>
    <row r="292">
      <c r="A292" s="20">
        <v>42772.0</v>
      </c>
      <c r="B292" s="16" t="s">
        <v>336</v>
      </c>
      <c r="C292" s="16" t="s">
        <v>230</v>
      </c>
      <c r="D292" s="16" t="s">
        <v>337</v>
      </c>
      <c r="E292" s="4">
        <v>2.699</v>
      </c>
      <c r="F292" s="16">
        <v>70722.0</v>
      </c>
      <c r="G292" s="16">
        <v>6.881</v>
      </c>
      <c r="H292" s="4">
        <v>18.57</v>
      </c>
      <c r="I292" s="10">
        <f t="shared" si="10"/>
        <v>272</v>
      </c>
      <c r="J292" s="11">
        <f t="shared" si="9"/>
        <v>39.52913821</v>
      </c>
      <c r="K292" s="13">
        <f t="shared" si="12"/>
        <v>6512.1364</v>
      </c>
      <c r="L292" s="11">
        <f t="shared" si="13"/>
        <v>1766.104761</v>
      </c>
      <c r="M292" s="11">
        <f t="shared" si="5"/>
        <v>40.24229454</v>
      </c>
      <c r="N292" s="12">
        <f t="shared" si="6"/>
        <v>0.0920807726</v>
      </c>
      <c r="O292" s="16" t="s">
        <v>328</v>
      </c>
      <c r="P292" s="11">
        <f t="shared" si="15"/>
        <v>39.83066161</v>
      </c>
    </row>
    <row r="293">
      <c r="A293" s="20">
        <v>42875.0</v>
      </c>
      <c r="B293" s="16" t="s">
        <v>338</v>
      </c>
      <c r="C293" s="16" t="s">
        <v>230</v>
      </c>
      <c r="D293" s="16" t="s">
        <v>284</v>
      </c>
      <c r="E293" s="4">
        <v>2.769</v>
      </c>
      <c r="F293" s="16">
        <v>70949.0</v>
      </c>
      <c r="G293" s="16">
        <v>4.333</v>
      </c>
      <c r="H293" s="4">
        <v>12.0</v>
      </c>
      <c r="I293" s="10">
        <f t="shared" si="10"/>
        <v>227</v>
      </c>
      <c r="J293" s="11">
        <f t="shared" si="9"/>
        <v>52.38864528</v>
      </c>
      <c r="K293" s="13">
        <f t="shared" si="12"/>
        <v>6524.1364</v>
      </c>
      <c r="L293" s="11">
        <f t="shared" si="13"/>
        <v>1770.437761</v>
      </c>
      <c r="M293" s="11">
        <f t="shared" si="5"/>
        <v>40.27216853</v>
      </c>
      <c r="N293" s="12">
        <f t="shared" si="6"/>
        <v>0.09195529747</v>
      </c>
      <c r="P293" s="11">
        <f t="shared" si="15"/>
        <v>41.53207199</v>
      </c>
    </row>
    <row r="294">
      <c r="A294" s="20">
        <v>42877.0</v>
      </c>
      <c r="B294" s="16" t="s">
        <v>339</v>
      </c>
      <c r="C294" s="16" t="s">
        <v>232</v>
      </c>
      <c r="D294" s="16" t="s">
        <v>21</v>
      </c>
      <c r="E294" s="4">
        <v>3.379</v>
      </c>
      <c r="F294" s="16">
        <v>71181.0</v>
      </c>
      <c r="G294" s="16">
        <v>2.496</v>
      </c>
      <c r="H294" s="4">
        <v>8.43</v>
      </c>
      <c r="I294" s="10">
        <f t="shared" si="10"/>
        <v>232</v>
      </c>
      <c r="J294" s="11">
        <f t="shared" si="9"/>
        <v>92.94871795</v>
      </c>
      <c r="K294" s="13">
        <f t="shared" si="12"/>
        <v>6532.5664</v>
      </c>
      <c r="L294" s="11">
        <f t="shared" si="13"/>
        <v>1772.933761</v>
      </c>
      <c r="M294" s="11">
        <f t="shared" si="5"/>
        <v>40.34669418</v>
      </c>
      <c r="N294" s="12">
        <f t="shared" si="6"/>
        <v>0.09177401835</v>
      </c>
      <c r="O294" s="16" t="s">
        <v>340</v>
      </c>
      <c r="P294" s="11">
        <f t="shared" si="15"/>
        <v>46.61056423</v>
      </c>
    </row>
    <row r="295">
      <c r="A295" s="20"/>
      <c r="B295" s="16"/>
      <c r="C295" s="16"/>
      <c r="D295" s="16"/>
      <c r="E295" s="4"/>
      <c r="F295" s="16"/>
      <c r="G295" s="16"/>
      <c r="H295" s="4"/>
    </row>
    <row r="296">
      <c r="A296" s="20"/>
      <c r="B296" s="16"/>
      <c r="C296" s="16"/>
      <c r="D296" s="16"/>
      <c r="E296" s="4"/>
      <c r="F296" s="16"/>
      <c r="G296" s="16"/>
      <c r="H296" s="4"/>
      <c r="K296" s="30" t="s">
        <v>341</v>
      </c>
      <c r="L296" s="8" t="s">
        <v>342</v>
      </c>
      <c r="M296" s="31" t="s">
        <v>343</v>
      </c>
      <c r="N296" s="32">
        <f>average(E244:E272)</f>
        <v>2.801758621</v>
      </c>
      <c r="O296" s="31"/>
      <c r="P296" s="33">
        <f t="shared" ref="P296:Q296" si="16">sum(G244:G272)</f>
        <v>182.754</v>
      </c>
      <c r="Q296" s="32">
        <f t="shared" si="16"/>
        <v>514.58</v>
      </c>
      <c r="R296" s="34"/>
      <c r="S296" s="35">
        <f>7240/(P296)</f>
        <v>39.61609595</v>
      </c>
      <c r="T296" s="32"/>
    </row>
    <row r="297">
      <c r="A297" s="20"/>
      <c r="B297" s="16"/>
      <c r="C297" s="16"/>
      <c r="D297" s="16"/>
      <c r="E297" s="4"/>
      <c r="F297" s="16"/>
      <c r="G297" s="16"/>
      <c r="H297" s="4"/>
      <c r="L297" s="11"/>
      <c r="M297" s="31" t="s">
        <v>344</v>
      </c>
      <c r="N297" s="36">
        <f>count(E244:E271)</f>
        <v>28</v>
      </c>
      <c r="O297" s="31"/>
      <c r="P297" s="33">
        <f>P296/count(G244:G272)</f>
        <v>6.301862069</v>
      </c>
      <c r="Q297" s="32"/>
      <c r="R297" s="34"/>
      <c r="S297" s="35"/>
      <c r="T297" s="32" t="s">
        <v>345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22.5"/>
    <col customWidth="1" min="3" max="20" width="15.13"/>
  </cols>
  <sheetData>
    <row r="1">
      <c r="A1" s="3" t="s">
        <v>346</v>
      </c>
      <c r="B1" s="3" t="s">
        <v>1</v>
      </c>
      <c r="C1" s="3" t="s">
        <v>2</v>
      </c>
      <c r="E1" s="14" t="str">
        <f>concatenate(A1,", ",B1,", ",C1)</f>
        <v>Date, City, State</v>
      </c>
    </row>
    <row r="2">
      <c r="A2" s="9">
        <v>40382.0</v>
      </c>
      <c r="B2" s="3" t="s">
        <v>16</v>
      </c>
      <c r="C2" s="3" t="s">
        <v>17</v>
      </c>
      <c r="E2" s="14" t="str">
        <f t="shared" ref="E2:E213" si="1">concatenate(TEXT(A2,"M/d/yyyy"),", ",B2,", ",C2)</f>
        <v>7/23/2010, San Diego, California</v>
      </c>
    </row>
    <row r="3">
      <c r="A3" s="9">
        <v>40385.0</v>
      </c>
      <c r="B3" s="3" t="s">
        <v>20</v>
      </c>
      <c r="C3" s="3" t="s">
        <v>17</v>
      </c>
      <c r="E3" s="14" t="str">
        <f t="shared" si="1"/>
        <v>7/26/2010, San Marcos, California</v>
      </c>
    </row>
    <row r="4">
      <c r="A4" s="9">
        <v>40440.0</v>
      </c>
      <c r="B4" s="3" t="s">
        <v>23</v>
      </c>
      <c r="C4" s="3" t="s">
        <v>17</v>
      </c>
      <c r="E4" s="14" t="str">
        <f t="shared" si="1"/>
        <v>9/19/2010, Campo, California</v>
      </c>
    </row>
    <row r="5">
      <c r="A5" s="9">
        <v>40440.0</v>
      </c>
      <c r="B5" s="3" t="s">
        <v>26</v>
      </c>
      <c r="C5" s="3" t="s">
        <v>27</v>
      </c>
      <c r="E5" s="14" t="str">
        <f t="shared" si="1"/>
        <v>9/19/2010, Eloy, Arizona</v>
      </c>
    </row>
    <row r="6">
      <c r="A6" s="9">
        <v>40441.0</v>
      </c>
      <c r="B6" s="3" t="s">
        <v>30</v>
      </c>
      <c r="C6" s="3" t="s">
        <v>27</v>
      </c>
      <c r="E6" s="14" t="str">
        <f t="shared" si="1"/>
        <v>9/20/2010, Deming, Arizona</v>
      </c>
    </row>
    <row r="7">
      <c r="A7" s="9">
        <v>40441.0</v>
      </c>
      <c r="B7" s="3" t="s">
        <v>32</v>
      </c>
      <c r="C7" s="3" t="s">
        <v>33</v>
      </c>
      <c r="E7" s="14" t="str">
        <f t="shared" si="1"/>
        <v>9/20/2010, Pecos, Texas</v>
      </c>
    </row>
    <row r="8">
      <c r="A8" s="9">
        <v>40442.0</v>
      </c>
      <c r="B8" s="3" t="s">
        <v>35</v>
      </c>
      <c r="C8" s="3" t="s">
        <v>33</v>
      </c>
      <c r="E8" s="14" t="str">
        <f t="shared" si="1"/>
        <v>9/21/2010, Abilene, Texas</v>
      </c>
    </row>
    <row r="9">
      <c r="A9" s="9">
        <v>40444.0</v>
      </c>
      <c r="B9" s="3" t="s">
        <v>38</v>
      </c>
      <c r="C9" s="3" t="s">
        <v>33</v>
      </c>
      <c r="E9" s="14" t="str">
        <f t="shared" si="1"/>
        <v>9/23/2010, Flower Mound, Texas</v>
      </c>
    </row>
    <row r="10">
      <c r="A10" s="9">
        <v>40445.0</v>
      </c>
      <c r="B10" s="3" t="s">
        <v>41</v>
      </c>
      <c r="C10" s="3" t="s">
        <v>42</v>
      </c>
      <c r="E10" s="14" t="str">
        <f t="shared" si="1"/>
        <v>9/24/2010, Blackwell, Oklahoma</v>
      </c>
    </row>
    <row r="11">
      <c r="A11" s="9">
        <v>40445.0</v>
      </c>
      <c r="B11" s="3" t="s">
        <v>44</v>
      </c>
      <c r="C11" s="3" t="s">
        <v>45</v>
      </c>
      <c r="E11" s="14" t="str">
        <f t="shared" si="1"/>
        <v>9/24/2010, Matfield Green, Kansas</v>
      </c>
    </row>
    <row r="12">
      <c r="A12" s="9">
        <v>40450.0</v>
      </c>
      <c r="B12" s="3" t="s">
        <v>48</v>
      </c>
      <c r="C12" s="3" t="s">
        <v>49</v>
      </c>
      <c r="E12" s="14" t="str">
        <f t="shared" si="1"/>
        <v>9/29/2010, St. Louis, Missouri</v>
      </c>
    </row>
    <row r="13">
      <c r="A13" s="9">
        <v>40451.0</v>
      </c>
      <c r="B13" s="3" t="s">
        <v>51</v>
      </c>
      <c r="C13" s="3" t="s">
        <v>52</v>
      </c>
      <c r="E13" s="14" t="str">
        <f t="shared" si="1"/>
        <v>9/30/2010, Dale, Indiana</v>
      </c>
    </row>
    <row r="14">
      <c r="A14" s="9">
        <v>40451.0</v>
      </c>
      <c r="B14" s="3" t="s">
        <v>53</v>
      </c>
      <c r="C14" s="3" t="s">
        <v>54</v>
      </c>
      <c r="E14" s="14" t="str">
        <f t="shared" si="1"/>
        <v>9/30/2010, Barboursville, West Virginia</v>
      </c>
    </row>
    <row r="15">
      <c r="A15" s="9">
        <v>40452.0</v>
      </c>
      <c r="B15" s="3" t="s">
        <v>56</v>
      </c>
      <c r="C15" s="3" t="s">
        <v>57</v>
      </c>
      <c r="E15" s="14" t="str">
        <f t="shared" si="1"/>
        <v>10/1/2010, Hillsville, Virginia</v>
      </c>
    </row>
    <row r="16">
      <c r="A16" s="9">
        <v>40453.0</v>
      </c>
      <c r="B16" s="3" t="s">
        <v>59</v>
      </c>
      <c r="C16" s="3" t="s">
        <v>57</v>
      </c>
      <c r="E16" s="14" t="str">
        <f t="shared" si="1"/>
        <v>10/2/2010, Waynesboro, Virginia</v>
      </c>
    </row>
    <row r="17">
      <c r="A17" s="9">
        <v>40458.0</v>
      </c>
      <c r="B17" s="3" t="s">
        <v>61</v>
      </c>
      <c r="C17" s="3" t="s">
        <v>62</v>
      </c>
      <c r="E17" s="14" t="str">
        <f t="shared" si="1"/>
        <v>10/7/2010, Gettysburg, Pennsylvania</v>
      </c>
    </row>
    <row r="18">
      <c r="A18" s="9">
        <v>40458.0</v>
      </c>
      <c r="B18" s="3" t="s">
        <v>63</v>
      </c>
      <c r="C18" s="3" t="s">
        <v>64</v>
      </c>
      <c r="E18" s="14" t="str">
        <f t="shared" si="1"/>
        <v>10/7/2010, Danbury, Connecticut</v>
      </c>
    </row>
    <row r="19">
      <c r="A19" s="9">
        <v>40460.0</v>
      </c>
      <c r="B19" s="3" t="s">
        <v>66</v>
      </c>
      <c r="C19" s="3" t="s">
        <v>67</v>
      </c>
      <c r="E19" s="14" t="str">
        <f t="shared" si="1"/>
        <v>10/9/2010, Charlton, Massachusetts</v>
      </c>
    </row>
    <row r="20">
      <c r="A20" s="9">
        <v>40461.0</v>
      </c>
      <c r="B20" s="3" t="s">
        <v>69</v>
      </c>
      <c r="C20" s="3" t="s">
        <v>70</v>
      </c>
      <c r="E20" s="14" t="str">
        <f t="shared" si="1"/>
        <v>10/10/2010, Austinburg, Ohio</v>
      </c>
    </row>
    <row r="21">
      <c r="A21" s="9">
        <v>40461.0</v>
      </c>
      <c r="B21" s="3" t="s">
        <v>71</v>
      </c>
      <c r="C21" s="3" t="s">
        <v>70</v>
      </c>
      <c r="E21" s="14" t="str">
        <f t="shared" si="1"/>
        <v>10/10/2010, Warren, Ohio</v>
      </c>
    </row>
    <row r="22">
      <c r="A22" s="9">
        <v>40462.0</v>
      </c>
      <c r="B22" s="3" t="s">
        <v>72</v>
      </c>
      <c r="C22" s="3" t="s">
        <v>70</v>
      </c>
      <c r="E22" s="14" t="str">
        <f t="shared" si="1"/>
        <v>10/11/2010, Dayton, Ohio</v>
      </c>
    </row>
    <row r="23">
      <c r="A23" s="9">
        <v>40462.0</v>
      </c>
      <c r="B23" s="3" t="s">
        <v>74</v>
      </c>
      <c r="C23" s="3" t="s">
        <v>75</v>
      </c>
      <c r="E23" s="14" t="str">
        <f t="shared" si="1"/>
        <v>10/11/2010, Altamont, Illinois</v>
      </c>
    </row>
    <row r="24">
      <c r="A24" s="9">
        <v>40487.0</v>
      </c>
      <c r="B24" s="3" t="s">
        <v>76</v>
      </c>
      <c r="C24" s="3" t="s">
        <v>75</v>
      </c>
      <c r="E24" s="14" t="str">
        <f t="shared" si="1"/>
        <v>11/5/2010, Effingham, Illinois</v>
      </c>
    </row>
    <row r="25">
      <c r="A25" s="9">
        <v>40488.0</v>
      </c>
      <c r="B25" s="3" t="s">
        <v>77</v>
      </c>
      <c r="C25" s="3" t="s">
        <v>70</v>
      </c>
      <c r="E25" s="14" t="str">
        <f t="shared" si="1"/>
        <v>11/6/2010, Springfield, Ohio</v>
      </c>
    </row>
    <row r="26">
      <c r="A26" s="9">
        <v>40489.0</v>
      </c>
      <c r="B26" s="3" t="s">
        <v>59</v>
      </c>
      <c r="C26" s="3" t="s">
        <v>62</v>
      </c>
      <c r="E26" s="14" t="str">
        <f t="shared" si="1"/>
        <v>11/7/2010, Waynesboro, Pennsylvania</v>
      </c>
    </row>
    <row r="27">
      <c r="A27" s="9">
        <v>40490.0</v>
      </c>
      <c r="B27" s="3" t="s">
        <v>78</v>
      </c>
      <c r="C27" s="3" t="s">
        <v>62</v>
      </c>
      <c r="E27" s="14" t="str">
        <f t="shared" si="1"/>
        <v>11/8/2010, Middleton, Pennsylvania</v>
      </c>
    </row>
    <row r="28">
      <c r="A28" s="9">
        <v>40491.0</v>
      </c>
      <c r="B28" s="3" t="s">
        <v>79</v>
      </c>
      <c r="C28" s="3" t="s">
        <v>62</v>
      </c>
      <c r="E28" s="14" t="str">
        <f t="shared" si="1"/>
        <v>11/9/2010, Newburg, Pennsylvania</v>
      </c>
    </row>
    <row r="29">
      <c r="A29" s="9">
        <v>40492.0</v>
      </c>
      <c r="B29" s="3" t="s">
        <v>80</v>
      </c>
      <c r="C29" s="3" t="s">
        <v>62</v>
      </c>
      <c r="E29" s="14" t="str">
        <f t="shared" si="1"/>
        <v>11/10/2010, Pittsburgh, Pennsylvania</v>
      </c>
    </row>
    <row r="30">
      <c r="A30" s="9">
        <v>40496.0</v>
      </c>
      <c r="B30" s="3" t="s">
        <v>81</v>
      </c>
      <c r="C30" s="3" t="s">
        <v>54</v>
      </c>
      <c r="E30" s="14" t="str">
        <f t="shared" si="1"/>
        <v>11/14/2010, Summerville, West Virginia</v>
      </c>
    </row>
    <row r="31">
      <c r="A31" s="9">
        <v>40497.0</v>
      </c>
      <c r="B31" s="3" t="s">
        <v>82</v>
      </c>
      <c r="C31" s="3" t="s">
        <v>83</v>
      </c>
      <c r="E31" s="14" t="str">
        <f t="shared" si="1"/>
        <v>11/15/2010, Bessemer, North Carolina</v>
      </c>
    </row>
    <row r="32">
      <c r="A32" s="9">
        <v>40498.0</v>
      </c>
      <c r="B32" s="3" t="s">
        <v>85</v>
      </c>
      <c r="C32" s="3" t="s">
        <v>86</v>
      </c>
      <c r="E32" s="14" t="str">
        <f t="shared" si="1"/>
        <v>11/16/2010, Villa Rica, Georgia</v>
      </c>
    </row>
    <row r="33">
      <c r="A33" s="9">
        <v>40498.0</v>
      </c>
      <c r="B33" s="3" t="s">
        <v>87</v>
      </c>
      <c r="C33" s="3" t="s">
        <v>88</v>
      </c>
      <c r="E33" s="14" t="str">
        <f t="shared" si="1"/>
        <v>11/16/2010, Tupelo, Mississippi</v>
      </c>
    </row>
    <row r="34">
      <c r="A34" s="9">
        <v>40499.0</v>
      </c>
      <c r="B34" s="3" t="s">
        <v>90</v>
      </c>
      <c r="C34" s="3" t="s">
        <v>91</v>
      </c>
      <c r="E34" s="14" t="str">
        <f t="shared" si="1"/>
        <v>11/17/2010, Bryant, Arkansas</v>
      </c>
    </row>
    <row r="35">
      <c r="A35" s="9">
        <v>40499.0</v>
      </c>
      <c r="B35" s="3" t="s">
        <v>93</v>
      </c>
      <c r="C35" s="3" t="s">
        <v>33</v>
      </c>
      <c r="E35" s="14" t="str">
        <f t="shared" si="1"/>
        <v>11/17/2010, Mt Pleasant, Texas</v>
      </c>
    </row>
    <row r="36">
      <c r="A36" s="9">
        <v>40503.0</v>
      </c>
      <c r="B36" s="3" t="s">
        <v>94</v>
      </c>
      <c r="C36" s="3" t="s">
        <v>33</v>
      </c>
      <c r="E36" s="14" t="str">
        <f t="shared" si="1"/>
        <v>11/21/2010, Weatherford, Texas</v>
      </c>
    </row>
    <row r="37">
      <c r="A37" s="9">
        <v>40503.0</v>
      </c>
      <c r="B37" s="3" t="s">
        <v>95</v>
      </c>
      <c r="C37" s="3" t="s">
        <v>33</v>
      </c>
      <c r="E37" s="14" t="str">
        <f t="shared" si="1"/>
        <v>11/21/2010, Big Springs, Texas</v>
      </c>
    </row>
    <row r="38">
      <c r="A38" s="9">
        <v>40503.0</v>
      </c>
      <c r="B38" s="3" t="s">
        <v>96</v>
      </c>
      <c r="C38" s="3" t="s">
        <v>97</v>
      </c>
      <c r="E38" s="14" t="str">
        <f t="shared" si="1"/>
        <v>11/21/2010, Carlsbad, New Mexico</v>
      </c>
    </row>
    <row r="39">
      <c r="A39" s="9">
        <v>40504.0</v>
      </c>
      <c r="B39" s="3" t="s">
        <v>98</v>
      </c>
      <c r="C39" s="3" t="s">
        <v>97</v>
      </c>
      <c r="E39" s="14" t="str">
        <f t="shared" si="1"/>
        <v>11/22/2010, Ruidosa, New Mexico</v>
      </c>
    </row>
    <row r="40">
      <c r="A40" s="9">
        <v>40505.0</v>
      </c>
      <c r="B40" s="3" t="s">
        <v>100</v>
      </c>
      <c r="C40" s="3" t="s">
        <v>27</v>
      </c>
      <c r="E40" s="14" t="str">
        <f t="shared" si="1"/>
        <v>11/23/2010, Willcox, Arizona</v>
      </c>
    </row>
    <row r="41">
      <c r="A41" s="9">
        <v>40506.0</v>
      </c>
      <c r="B41" s="3" t="s">
        <v>101</v>
      </c>
      <c r="C41" s="3" t="s">
        <v>27</v>
      </c>
      <c r="E41" s="14" t="str">
        <f t="shared" si="1"/>
        <v>11/24/2010, Dateland, Arizona</v>
      </c>
    </row>
    <row r="42">
      <c r="A42" s="9">
        <v>40506.0</v>
      </c>
      <c r="B42" s="3" t="s">
        <v>103</v>
      </c>
      <c r="C42" s="3" t="s">
        <v>17</v>
      </c>
      <c r="E42" s="14" t="str">
        <f t="shared" si="1"/>
        <v>11/24/2010, El Cajon, California</v>
      </c>
    </row>
    <row r="43">
      <c r="A43" s="9">
        <v>40511.0</v>
      </c>
      <c r="B43" s="3" t="s">
        <v>20</v>
      </c>
      <c r="C43" s="3" t="s">
        <v>17</v>
      </c>
      <c r="E43" s="14" t="str">
        <f t="shared" si="1"/>
        <v>11/29/2010, San Marcos, California</v>
      </c>
    </row>
    <row r="44">
      <c r="A44" s="9">
        <v>40539.0</v>
      </c>
      <c r="B44" s="3" t="s">
        <v>20</v>
      </c>
      <c r="C44" s="3" t="s">
        <v>17</v>
      </c>
      <c r="E44" s="14" t="str">
        <f t="shared" si="1"/>
        <v>12/27/2010, San Marcos, California</v>
      </c>
    </row>
    <row r="45">
      <c r="A45" s="9">
        <v>40602.0</v>
      </c>
      <c r="B45" s="3" t="s">
        <v>107</v>
      </c>
      <c r="C45" s="3" t="s">
        <v>17</v>
      </c>
      <c r="E45" s="14" t="str">
        <f t="shared" si="1"/>
        <v>2/28/2011, El Centro, California</v>
      </c>
    </row>
    <row r="46">
      <c r="A46" s="9">
        <v>40604.0</v>
      </c>
      <c r="B46" s="3" t="s">
        <v>110</v>
      </c>
      <c r="C46" s="3" t="s">
        <v>17</v>
      </c>
      <c r="E46" s="14" t="str">
        <f t="shared" si="1"/>
        <v>3/2/2011, LaQuinta, California</v>
      </c>
    </row>
    <row r="47">
      <c r="A47" s="9">
        <v>40604.0</v>
      </c>
      <c r="B47" s="3" t="s">
        <v>20</v>
      </c>
      <c r="C47" s="3" t="s">
        <v>17</v>
      </c>
      <c r="E47" s="14" t="str">
        <f t="shared" si="1"/>
        <v>3/2/2011, San Marcos, California</v>
      </c>
    </row>
    <row r="48">
      <c r="A48" s="9">
        <v>40669.0</v>
      </c>
      <c r="B48" s="3" t="s">
        <v>113</v>
      </c>
      <c r="C48" s="3" t="s">
        <v>17</v>
      </c>
      <c r="E48" s="14" t="str">
        <f t="shared" si="1"/>
        <v>5/6/2011, Santa Cleritos, California</v>
      </c>
    </row>
    <row r="49">
      <c r="A49" s="9">
        <v>40669.0</v>
      </c>
      <c r="B49" s="3" t="s">
        <v>115</v>
      </c>
      <c r="C49" s="3" t="s">
        <v>17</v>
      </c>
      <c r="E49" s="14" t="str">
        <f t="shared" si="1"/>
        <v>5/6/2011, Santa Nella, California</v>
      </c>
    </row>
    <row r="50">
      <c r="A50" s="9">
        <v>40670.0</v>
      </c>
      <c r="B50" s="3" t="s">
        <v>118</v>
      </c>
      <c r="C50" s="3" t="s">
        <v>17</v>
      </c>
      <c r="E50" s="14" t="str">
        <f t="shared" si="1"/>
        <v>5/7/2011, Cloverdale, California</v>
      </c>
    </row>
    <row r="51">
      <c r="A51" s="9">
        <v>40671.0</v>
      </c>
      <c r="B51" s="3" t="s">
        <v>120</v>
      </c>
      <c r="C51" s="3" t="s">
        <v>17</v>
      </c>
      <c r="E51" s="14" t="str">
        <f t="shared" si="1"/>
        <v>5/8/2011, Klamath, California</v>
      </c>
    </row>
    <row r="52">
      <c r="A52" s="9">
        <v>40673.0</v>
      </c>
      <c r="B52" s="3" t="s">
        <v>123</v>
      </c>
      <c r="C52" s="3" t="s">
        <v>17</v>
      </c>
      <c r="E52" s="14" t="str">
        <f t="shared" si="1"/>
        <v>5/10/2011, Healdsburg, California</v>
      </c>
    </row>
    <row r="53">
      <c r="A53" s="9">
        <v>40673.0</v>
      </c>
      <c r="B53" s="3" t="s">
        <v>126</v>
      </c>
      <c r="C53" s="3" t="s">
        <v>17</v>
      </c>
      <c r="E53" s="14" t="str">
        <f t="shared" si="1"/>
        <v>5/10/2011, San Louis Obispo, California</v>
      </c>
    </row>
    <row r="54">
      <c r="A54" s="9">
        <v>40674.0</v>
      </c>
      <c r="B54" s="3" t="s">
        <v>128</v>
      </c>
      <c r="C54" s="3" t="s">
        <v>17</v>
      </c>
      <c r="E54" s="14" t="str">
        <f t="shared" si="1"/>
        <v>5/11/2011, Laguna Hills, California</v>
      </c>
    </row>
    <row r="55">
      <c r="A55" s="9">
        <v>40717.0</v>
      </c>
      <c r="B55" s="3" t="s">
        <v>20</v>
      </c>
      <c r="C55" s="3" t="s">
        <v>17</v>
      </c>
      <c r="E55" s="14" t="str">
        <f t="shared" si="1"/>
        <v>6/23/2011, San Marcos, California</v>
      </c>
    </row>
    <row r="56">
      <c r="A56" s="9">
        <v>40719.0</v>
      </c>
      <c r="B56" s="3" t="s">
        <v>131</v>
      </c>
      <c r="C56" s="3" t="s">
        <v>17</v>
      </c>
      <c r="E56" s="14" t="str">
        <f t="shared" si="1"/>
        <v>6/25/2011, Ludlow, California</v>
      </c>
    </row>
    <row r="57">
      <c r="A57" s="9">
        <v>40719.0</v>
      </c>
      <c r="B57" s="3" t="s">
        <v>132</v>
      </c>
      <c r="C57" s="3" t="s">
        <v>27</v>
      </c>
      <c r="E57" s="14" t="str">
        <f t="shared" si="1"/>
        <v>6/25/2011, Ash Fork, Arizona</v>
      </c>
    </row>
    <row r="58">
      <c r="A58" s="9">
        <v>40721.0</v>
      </c>
      <c r="B58" s="3" t="s">
        <v>133</v>
      </c>
      <c r="C58" s="3" t="s">
        <v>97</v>
      </c>
      <c r="E58" s="14" t="str">
        <f t="shared" si="1"/>
        <v>6/27/2011, Gallup, New Mexico</v>
      </c>
    </row>
    <row r="59">
      <c r="A59" s="9">
        <v>40722.0</v>
      </c>
      <c r="B59" s="3" t="s">
        <v>135</v>
      </c>
      <c r="C59" s="3" t="s">
        <v>97</v>
      </c>
      <c r="E59" s="14" t="str">
        <f t="shared" si="1"/>
        <v>6/28/2011, Santa Rosa, New Mexico</v>
      </c>
    </row>
    <row r="60">
      <c r="A60" s="9">
        <v>40722.0</v>
      </c>
      <c r="B60" s="3" t="s">
        <v>136</v>
      </c>
      <c r="C60" s="3" t="s">
        <v>33</v>
      </c>
      <c r="E60" s="14" t="str">
        <f t="shared" si="1"/>
        <v>6/28/2011, Memphis, Texas</v>
      </c>
    </row>
    <row r="61">
      <c r="A61" s="9">
        <v>40726.0</v>
      </c>
      <c r="B61" s="3" t="s">
        <v>137</v>
      </c>
      <c r="C61" s="3" t="s">
        <v>33</v>
      </c>
      <c r="E61" s="14" t="str">
        <f t="shared" si="1"/>
        <v>7/2/2011, Aledo, Texas</v>
      </c>
    </row>
    <row r="62">
      <c r="A62" s="9">
        <v>40726.0</v>
      </c>
      <c r="B62" s="3" t="s">
        <v>139</v>
      </c>
      <c r="C62" s="3" t="s">
        <v>33</v>
      </c>
      <c r="E62" s="14" t="str">
        <f t="shared" si="1"/>
        <v>7/2/2011, Spring , Texas</v>
      </c>
    </row>
    <row r="63">
      <c r="A63" s="9">
        <v>40727.0</v>
      </c>
      <c r="B63" s="3" t="s">
        <v>140</v>
      </c>
      <c r="C63" s="3" t="s">
        <v>141</v>
      </c>
      <c r="E63" s="14" t="str">
        <f t="shared" si="1"/>
        <v>7/3/2011, Grosse Tete, Louisiana</v>
      </c>
    </row>
    <row r="64">
      <c r="A64" s="9">
        <v>40728.0</v>
      </c>
      <c r="B64" s="3" t="s">
        <v>143</v>
      </c>
      <c r="C64" s="3" t="s">
        <v>88</v>
      </c>
      <c r="E64" s="14" t="str">
        <f t="shared" si="1"/>
        <v>7/4/2011, Pickens, Mississippi</v>
      </c>
    </row>
    <row r="65">
      <c r="A65" s="9">
        <v>40729.0</v>
      </c>
      <c r="B65" s="3" t="s">
        <v>145</v>
      </c>
      <c r="C65" s="3" t="s">
        <v>91</v>
      </c>
      <c r="E65" s="14" t="str">
        <f t="shared" si="1"/>
        <v>7/5/2011, Turrell, Arkansas</v>
      </c>
    </row>
    <row r="66">
      <c r="A66" s="9">
        <v>40729.0</v>
      </c>
      <c r="B66" s="3" t="s">
        <v>147</v>
      </c>
      <c r="C66" s="3" t="s">
        <v>49</v>
      </c>
      <c r="E66" s="14" t="str">
        <f t="shared" si="1"/>
        <v>7/5/2011, Arnold, Missouri</v>
      </c>
    </row>
    <row r="67">
      <c r="A67" s="9">
        <v>40736.0</v>
      </c>
      <c r="B67" s="3" t="s">
        <v>149</v>
      </c>
      <c r="C67" s="3" t="s">
        <v>49</v>
      </c>
      <c r="E67" s="14" t="str">
        <f t="shared" si="1"/>
        <v>7/12/2011, University City, Missouri</v>
      </c>
    </row>
    <row r="68">
      <c r="A68" s="9">
        <v>40738.0</v>
      </c>
      <c r="B68" s="3" t="s">
        <v>150</v>
      </c>
      <c r="C68" s="3" t="s">
        <v>49</v>
      </c>
      <c r="E68" s="14" t="str">
        <f t="shared" si="1"/>
        <v>7/14/2011, Boonville, Missouri</v>
      </c>
    </row>
    <row r="69">
      <c r="A69" s="9">
        <v>40738.0</v>
      </c>
      <c r="B69" s="3" t="s">
        <v>151</v>
      </c>
      <c r="C69" s="3" t="s">
        <v>45</v>
      </c>
      <c r="E69" s="14" t="str">
        <f t="shared" si="1"/>
        <v>7/14/2011, Topeka, Kansas</v>
      </c>
    </row>
    <row r="70">
      <c r="A70" s="9">
        <v>40739.0</v>
      </c>
      <c r="B70" s="3" t="s">
        <v>152</v>
      </c>
      <c r="C70" s="3" t="s">
        <v>45</v>
      </c>
      <c r="E70" s="14" t="str">
        <f t="shared" si="1"/>
        <v>7/15/2011, Ellis, Kansas</v>
      </c>
    </row>
    <row r="71">
      <c r="A71" s="9">
        <v>40739.0</v>
      </c>
      <c r="B71" s="3" t="s">
        <v>153</v>
      </c>
      <c r="C71" s="3" t="s">
        <v>154</v>
      </c>
      <c r="E71" s="14" t="str">
        <f t="shared" si="1"/>
        <v>7/15/2011, Flagler, Colorado</v>
      </c>
    </row>
    <row r="72">
      <c r="A72" s="9">
        <v>40740.0</v>
      </c>
      <c r="B72" s="3" t="s">
        <v>156</v>
      </c>
      <c r="C72" s="3" t="s">
        <v>154</v>
      </c>
      <c r="E72" s="14" t="str">
        <f t="shared" si="1"/>
        <v>7/16/2011, Glenwood Springs, Colorado</v>
      </c>
    </row>
    <row r="73">
      <c r="A73" s="9">
        <v>40740.0</v>
      </c>
      <c r="B73" s="3" t="s">
        <v>157</v>
      </c>
      <c r="C73" s="3" t="s">
        <v>158</v>
      </c>
      <c r="E73" s="14" t="str">
        <f t="shared" si="1"/>
        <v>7/16/2011, Moab, Utah</v>
      </c>
    </row>
    <row r="74">
      <c r="A74" s="9">
        <v>40742.0</v>
      </c>
      <c r="B74" s="3" t="s">
        <v>159</v>
      </c>
      <c r="C74" s="3" t="s">
        <v>158</v>
      </c>
      <c r="E74" s="14" t="str">
        <f t="shared" si="1"/>
        <v>7/18/2011, Green River, Utah</v>
      </c>
    </row>
    <row r="75">
      <c r="A75" s="9">
        <v>40742.0</v>
      </c>
      <c r="B75" s="3" t="s">
        <v>161</v>
      </c>
      <c r="C75" s="3" t="s">
        <v>158</v>
      </c>
      <c r="E75" s="14" t="str">
        <f t="shared" si="1"/>
        <v>7/18/2011, Cedar City, Utah</v>
      </c>
    </row>
    <row r="76">
      <c r="A76" s="9">
        <v>40742.0</v>
      </c>
      <c r="B76" s="3" t="s">
        <v>162</v>
      </c>
      <c r="C76" s="3" t="s">
        <v>163</v>
      </c>
      <c r="E76" s="14" t="str">
        <f t="shared" si="1"/>
        <v>7/18/2011, Las Vegas, Nevada</v>
      </c>
    </row>
    <row r="77">
      <c r="A77" s="9">
        <v>40743.0</v>
      </c>
      <c r="B77" s="3" t="s">
        <v>164</v>
      </c>
      <c r="C77" s="3" t="s">
        <v>17</v>
      </c>
      <c r="E77" s="14" t="str">
        <f t="shared" si="1"/>
        <v>7/19/2011, Barstow, California</v>
      </c>
    </row>
    <row r="78">
      <c r="A78" s="9">
        <v>40830.0</v>
      </c>
      <c r="B78" s="3" t="s">
        <v>165</v>
      </c>
      <c r="C78" s="3" t="s">
        <v>17</v>
      </c>
      <c r="E78" s="14" t="str">
        <f t="shared" si="1"/>
        <v>10/14/2011, Signal Hill, California</v>
      </c>
    </row>
    <row r="79">
      <c r="A79" s="9">
        <v>40832.0</v>
      </c>
      <c r="B79" s="3" t="s">
        <v>166</v>
      </c>
      <c r="C79" s="3" t="s">
        <v>17</v>
      </c>
      <c r="E79" s="14" t="str">
        <f t="shared" si="1"/>
        <v>10/16/2011, Goleta, California</v>
      </c>
    </row>
    <row r="80">
      <c r="A80" s="9">
        <v>40833.0</v>
      </c>
      <c r="B80" s="3" t="s">
        <v>168</v>
      </c>
      <c r="C80" s="3" t="s">
        <v>17</v>
      </c>
      <c r="E80" s="14" t="str">
        <f t="shared" si="1"/>
        <v>10/17/2011, Coarse Gold, California</v>
      </c>
    </row>
    <row r="81">
      <c r="A81" s="9">
        <v>40836.0</v>
      </c>
      <c r="B81" s="3" t="s">
        <v>169</v>
      </c>
      <c r="C81" s="3" t="s">
        <v>17</v>
      </c>
      <c r="E81" s="14" t="str">
        <f t="shared" si="1"/>
        <v>10/20/2011, Yellowstone, California</v>
      </c>
    </row>
    <row r="82">
      <c r="A82" s="9">
        <v>40838.0</v>
      </c>
      <c r="B82" s="3" t="s">
        <v>170</v>
      </c>
      <c r="C82" s="3" t="s">
        <v>17</v>
      </c>
      <c r="E82" s="14" t="str">
        <f t="shared" si="1"/>
        <v>10/22/2011, Big Pine, California</v>
      </c>
    </row>
    <row r="83">
      <c r="A83" s="9">
        <v>40839.0</v>
      </c>
      <c r="B83" s="3" t="s">
        <v>165</v>
      </c>
      <c r="C83" s="3" t="s">
        <v>17</v>
      </c>
      <c r="E83" s="14" t="str">
        <f t="shared" si="1"/>
        <v>10/23/2011, Signal Hill, California</v>
      </c>
    </row>
    <row r="84">
      <c r="A84" s="9">
        <v>40842.0</v>
      </c>
      <c r="B84" s="3" t="s">
        <v>171</v>
      </c>
      <c r="C84" s="3" t="s">
        <v>17</v>
      </c>
      <c r="E84" s="14" t="str">
        <f t="shared" si="1"/>
        <v>10/26/2011, Lake San Marcos, California</v>
      </c>
    </row>
    <row r="85">
      <c r="A85" s="9">
        <v>40893.0</v>
      </c>
      <c r="B85" s="3" t="s">
        <v>171</v>
      </c>
      <c r="C85" s="3" t="s">
        <v>17</v>
      </c>
      <c r="E85" s="14" t="str">
        <f t="shared" si="1"/>
        <v>12/16/2011, Lake San Marcos, California</v>
      </c>
    </row>
    <row r="86">
      <c r="A86" s="9">
        <v>40897.0</v>
      </c>
      <c r="B86" s="3" t="s">
        <v>171</v>
      </c>
      <c r="C86" s="3" t="s">
        <v>17</v>
      </c>
      <c r="E86" s="14" t="str">
        <f t="shared" si="1"/>
        <v>12/20/2011, Lake San Marcos, California</v>
      </c>
    </row>
    <row r="87">
      <c r="A87" s="9">
        <v>40905.0</v>
      </c>
      <c r="B87" s="3" t="s">
        <v>171</v>
      </c>
      <c r="C87" s="3" t="s">
        <v>17</v>
      </c>
      <c r="E87" s="14" t="str">
        <f t="shared" si="1"/>
        <v>12/28/2011, Lake San Marcos, California</v>
      </c>
    </row>
    <row r="88">
      <c r="A88" s="9">
        <v>40933.0</v>
      </c>
      <c r="B88" s="3" t="s">
        <v>171</v>
      </c>
      <c r="C88" s="3" t="s">
        <v>17</v>
      </c>
      <c r="E88" s="14" t="str">
        <f t="shared" si="1"/>
        <v>1/25/2012, Lake San Marcos, California</v>
      </c>
    </row>
    <row r="89">
      <c r="A89" s="9">
        <v>40935.0</v>
      </c>
      <c r="B89" s="3" t="s">
        <v>172</v>
      </c>
      <c r="C89" s="3" t="s">
        <v>27</v>
      </c>
      <c r="E89" s="14" t="str">
        <f t="shared" si="1"/>
        <v>1/27/2012, Yuma, Arizona</v>
      </c>
    </row>
    <row r="90">
      <c r="A90" s="9">
        <v>40936.0</v>
      </c>
      <c r="B90" s="3" t="s">
        <v>173</v>
      </c>
      <c r="C90" s="3" t="s">
        <v>27</v>
      </c>
      <c r="E90" s="14" t="str">
        <f t="shared" si="1"/>
        <v>1/28/2012, Tucson, Arizona</v>
      </c>
    </row>
    <row r="91">
      <c r="A91" s="9">
        <v>40936.0</v>
      </c>
      <c r="B91" s="3" t="s">
        <v>174</v>
      </c>
      <c r="C91" s="3" t="s">
        <v>97</v>
      </c>
      <c r="E91" s="14" t="str">
        <f t="shared" si="1"/>
        <v>1/28/2012, Las Cruces, New Mexico</v>
      </c>
    </row>
    <row r="92">
      <c r="A92" s="9">
        <v>40937.0</v>
      </c>
      <c r="B92" s="3" t="s">
        <v>175</v>
      </c>
      <c r="C92" s="3" t="s">
        <v>33</v>
      </c>
      <c r="E92" s="14" t="str">
        <f t="shared" si="1"/>
        <v>1/29/2012, Van Horn, Texas</v>
      </c>
    </row>
    <row r="93">
      <c r="A93" s="9">
        <v>40938.0</v>
      </c>
      <c r="B93" s="3" t="s">
        <v>176</v>
      </c>
      <c r="C93" s="3" t="s">
        <v>33</v>
      </c>
      <c r="E93" s="14" t="str">
        <f t="shared" si="1"/>
        <v>1/30/2012, Colorado City, Texas</v>
      </c>
    </row>
    <row r="94">
      <c r="A94" s="9">
        <v>40944.0</v>
      </c>
      <c r="B94" s="3" t="s">
        <v>178</v>
      </c>
      <c r="C94" s="3" t="s">
        <v>33</v>
      </c>
      <c r="E94" s="14" t="str">
        <f t="shared" si="1"/>
        <v>2/5/2012, Ft. Worth, Texas</v>
      </c>
    </row>
    <row r="95">
      <c r="A95" s="9">
        <v>40945.0</v>
      </c>
      <c r="B95" s="3" t="s">
        <v>95</v>
      </c>
      <c r="C95" s="3" t="s">
        <v>33</v>
      </c>
      <c r="E95" s="14" t="str">
        <f t="shared" si="1"/>
        <v>2/6/2012, Big Springs, Texas</v>
      </c>
    </row>
    <row r="96">
      <c r="A96" s="9">
        <v>40947.0</v>
      </c>
      <c r="B96" s="3" t="s">
        <v>174</v>
      </c>
      <c r="C96" s="3" t="s">
        <v>97</v>
      </c>
      <c r="E96" s="14" t="str">
        <f t="shared" si="1"/>
        <v>2/8/2012, Las Cruces, New Mexico</v>
      </c>
    </row>
    <row r="97">
      <c r="A97" s="9">
        <v>40948.0</v>
      </c>
      <c r="B97" s="3" t="s">
        <v>173</v>
      </c>
      <c r="C97" s="3" t="s">
        <v>27</v>
      </c>
      <c r="E97" s="14" t="str">
        <f t="shared" si="1"/>
        <v>2/9/2012, Tucson, Arizona</v>
      </c>
    </row>
    <row r="98">
      <c r="A98" s="9">
        <v>40948.0</v>
      </c>
      <c r="B98" s="3" t="s">
        <v>172</v>
      </c>
      <c r="C98" s="3" t="s">
        <v>27</v>
      </c>
      <c r="E98" s="14" t="str">
        <f t="shared" si="1"/>
        <v>2/9/2012, Yuma, Arizona</v>
      </c>
    </row>
    <row r="99">
      <c r="A99" s="9">
        <v>41031.0</v>
      </c>
      <c r="B99" s="3" t="s">
        <v>171</v>
      </c>
      <c r="C99" s="3" t="s">
        <v>17</v>
      </c>
      <c r="E99" s="14" t="str">
        <f t="shared" si="1"/>
        <v>5/2/2012, Lake San Marcos, California</v>
      </c>
    </row>
    <row r="100">
      <c r="A100" s="9">
        <v>41032.0</v>
      </c>
      <c r="B100" s="3" t="s">
        <v>179</v>
      </c>
      <c r="C100" s="3" t="s">
        <v>17</v>
      </c>
      <c r="E100" s="14" t="str">
        <f t="shared" si="1"/>
        <v>5/3/2012, Blythe, California</v>
      </c>
    </row>
    <row r="101">
      <c r="A101" s="9">
        <v>41032.0</v>
      </c>
      <c r="B101" s="3" t="s">
        <v>180</v>
      </c>
      <c r="C101" s="3" t="s">
        <v>27</v>
      </c>
      <c r="E101" s="14" t="str">
        <f t="shared" si="1"/>
        <v>5/3/2012, Phoenix, Arizona</v>
      </c>
    </row>
    <row r="102">
      <c r="A102" s="9">
        <v>41034.0</v>
      </c>
      <c r="B102" s="3" t="s">
        <v>181</v>
      </c>
      <c r="C102" s="3" t="s">
        <v>27</v>
      </c>
      <c r="E102" s="14" t="str">
        <f t="shared" si="1"/>
        <v>5/5/2012, Sedona, Arizona</v>
      </c>
    </row>
    <row r="103">
      <c r="A103" s="9">
        <v>41036.0</v>
      </c>
      <c r="B103" s="3" t="s">
        <v>182</v>
      </c>
      <c r="C103" s="3" t="s">
        <v>27</v>
      </c>
      <c r="E103" s="14" t="str">
        <f t="shared" si="1"/>
        <v>5/7/2012, Flagstaff, Arizona</v>
      </c>
    </row>
    <row r="104">
      <c r="A104" s="9">
        <v>41037.0</v>
      </c>
      <c r="B104" s="3" t="s">
        <v>183</v>
      </c>
      <c r="C104" s="3" t="s">
        <v>27</v>
      </c>
      <c r="E104" s="14" t="str">
        <f t="shared" si="1"/>
        <v>5/8/2012, Kingman, Arizona</v>
      </c>
    </row>
    <row r="105">
      <c r="A105" s="9">
        <v>41038.0</v>
      </c>
      <c r="B105" s="3" t="s">
        <v>164</v>
      </c>
      <c r="C105" s="3" t="s">
        <v>17</v>
      </c>
      <c r="E105" s="14" t="str">
        <f t="shared" si="1"/>
        <v>5/9/2012, Barstow, California</v>
      </c>
    </row>
    <row r="106">
      <c r="A106" s="9">
        <v>41053.0</v>
      </c>
      <c r="B106" s="3" t="s">
        <v>165</v>
      </c>
      <c r="C106" s="3" t="s">
        <v>17</v>
      </c>
      <c r="E106" s="14" t="str">
        <f t="shared" si="1"/>
        <v>5/24/2012, Signal Hill, California</v>
      </c>
    </row>
    <row r="107">
      <c r="A107" s="9">
        <v>41053.0</v>
      </c>
      <c r="B107" s="3" t="s">
        <v>162</v>
      </c>
      <c r="C107" s="3" t="s">
        <v>163</v>
      </c>
      <c r="E107" s="14" t="str">
        <f t="shared" si="1"/>
        <v>5/24/2012, Las Vegas, Nevada</v>
      </c>
    </row>
    <row r="108">
      <c r="A108" s="9">
        <v>41054.0</v>
      </c>
      <c r="B108" s="3" t="s">
        <v>161</v>
      </c>
      <c r="C108" s="3" t="s">
        <v>158</v>
      </c>
      <c r="E108" s="14" t="str">
        <f t="shared" si="1"/>
        <v>5/25/2012, Cedar City, Utah</v>
      </c>
    </row>
    <row r="109">
      <c r="A109" s="9">
        <v>41055.0</v>
      </c>
      <c r="B109" s="3" t="s">
        <v>185</v>
      </c>
      <c r="C109" s="3" t="s">
        <v>186</v>
      </c>
      <c r="E109" s="14" t="str">
        <f t="shared" si="1"/>
        <v>5/26/2012, Evanston, Wyoming</v>
      </c>
    </row>
    <row r="110">
      <c r="A110" s="9">
        <v>41055.0</v>
      </c>
      <c r="B110" s="3" t="s">
        <v>187</v>
      </c>
      <c r="C110" s="3" t="s">
        <v>186</v>
      </c>
      <c r="E110" s="14" t="str">
        <f t="shared" si="1"/>
        <v>5/26/2012, Rawlins, Wyoming</v>
      </c>
    </row>
    <row r="111">
      <c r="A111" s="9">
        <v>41056.0</v>
      </c>
      <c r="B111" s="3" t="s">
        <v>188</v>
      </c>
      <c r="C111" s="3" t="s">
        <v>186</v>
      </c>
      <c r="E111" s="14" t="str">
        <f t="shared" si="1"/>
        <v>5/27/2012, Douglas, Wyoming</v>
      </c>
    </row>
    <row r="112">
      <c r="A112" s="9">
        <v>41056.0</v>
      </c>
      <c r="B112" s="3" t="s">
        <v>190</v>
      </c>
      <c r="C112" s="3" t="s">
        <v>191</v>
      </c>
      <c r="E112" s="14" t="str">
        <f t="shared" si="1"/>
        <v>5/27/2012, Bridgeport, Nebraska</v>
      </c>
    </row>
    <row r="113">
      <c r="A113" s="9">
        <v>41057.0</v>
      </c>
      <c r="B113" s="3" t="s">
        <v>193</v>
      </c>
      <c r="C113" s="3" t="s">
        <v>191</v>
      </c>
      <c r="E113" s="14" t="str">
        <f t="shared" si="1"/>
        <v>5/28/2012, York, Nebraska</v>
      </c>
    </row>
    <row r="114">
      <c r="A114" s="9">
        <v>41058.0</v>
      </c>
      <c r="B114" s="3" t="s">
        <v>195</v>
      </c>
      <c r="C114" s="3" t="s">
        <v>196</v>
      </c>
      <c r="E114" s="14" t="str">
        <f t="shared" si="1"/>
        <v>5/29/2012, Pleasant Hill, Iowa</v>
      </c>
    </row>
    <row r="115">
      <c r="A115" s="9">
        <v>41059.0</v>
      </c>
      <c r="B115" s="3" t="s">
        <v>198</v>
      </c>
      <c r="C115" s="3" t="s">
        <v>49</v>
      </c>
      <c r="E115" s="14" t="str">
        <f t="shared" si="1"/>
        <v>5/30/2012, Bowling Green, Missouri</v>
      </c>
    </row>
    <row r="116">
      <c r="A116" s="9">
        <v>41060.0</v>
      </c>
      <c r="B116" s="3" t="s">
        <v>199</v>
      </c>
      <c r="C116" s="3" t="s">
        <v>75</v>
      </c>
      <c r="E116" s="14" t="str">
        <f t="shared" si="1"/>
        <v>5/31/2012, Champaign, Illinois</v>
      </c>
    </row>
    <row r="117">
      <c r="A117" s="9" t="s">
        <v>200</v>
      </c>
      <c r="B117" s="3" t="s">
        <v>201</v>
      </c>
      <c r="C117" s="3" t="s">
        <v>70</v>
      </c>
      <c r="E117" s="14" t="str">
        <f t="shared" si="1"/>
        <v>5/31/0202, Richmond, Ohio</v>
      </c>
    </row>
    <row r="118">
      <c r="A118" s="9">
        <v>41061.0</v>
      </c>
      <c r="B118" s="3" t="s">
        <v>202</v>
      </c>
      <c r="C118" s="3" t="s">
        <v>54</v>
      </c>
      <c r="E118" s="14" t="str">
        <f t="shared" si="1"/>
        <v>6/1/2012, Morgantown, West Virginia</v>
      </c>
    </row>
    <row r="119">
      <c r="A119" s="9">
        <v>41068.0</v>
      </c>
      <c r="B119" s="3" t="s">
        <v>202</v>
      </c>
      <c r="C119" s="3" t="s">
        <v>54</v>
      </c>
      <c r="E119" s="14" t="str">
        <f t="shared" si="1"/>
        <v>6/8/2012, Morgantown, West Virginia</v>
      </c>
    </row>
    <row r="120">
      <c r="A120" s="9">
        <v>41069.0</v>
      </c>
      <c r="B120" s="3" t="s">
        <v>203</v>
      </c>
      <c r="C120" s="3" t="s">
        <v>70</v>
      </c>
      <c r="E120" s="14" t="str">
        <f t="shared" si="1"/>
        <v>6/9/2012, Clyde, Ohio</v>
      </c>
    </row>
    <row r="121">
      <c r="A121" s="9">
        <v>41069.0</v>
      </c>
      <c r="B121" s="3" t="s">
        <v>204</v>
      </c>
      <c r="C121" s="3" t="s">
        <v>205</v>
      </c>
      <c r="E121" s="14" t="str">
        <f t="shared" si="1"/>
        <v>6/9/2012, Jackson, Michigan</v>
      </c>
    </row>
    <row r="122">
      <c r="A122" s="9">
        <v>41071.0</v>
      </c>
      <c r="B122" s="3" t="s">
        <v>206</v>
      </c>
      <c r="C122" s="3" t="s">
        <v>207</v>
      </c>
      <c r="E122" s="14" t="str">
        <f t="shared" si="1"/>
        <v>6/11/2012, Madison, Wisconsin</v>
      </c>
    </row>
    <row r="123">
      <c r="A123" s="9">
        <v>41071.0</v>
      </c>
      <c r="B123" s="3" t="s">
        <v>209</v>
      </c>
      <c r="C123" s="3" t="s">
        <v>207</v>
      </c>
      <c r="E123" s="14" t="str">
        <f t="shared" si="1"/>
        <v>6/11/2012, Hudson, Wisconsin</v>
      </c>
    </row>
    <row r="124">
      <c r="A124" s="9">
        <v>41072.0</v>
      </c>
      <c r="B124" s="3" t="s">
        <v>210</v>
      </c>
      <c r="C124" s="3" t="s">
        <v>211</v>
      </c>
      <c r="E124" s="14" t="str">
        <f t="shared" si="1"/>
        <v>6/12/2012, Rothsay, Minnesota</v>
      </c>
    </row>
    <row r="125">
      <c r="A125" s="9">
        <v>41072.0</v>
      </c>
      <c r="B125" s="3" t="s">
        <v>213</v>
      </c>
      <c r="C125" s="3" t="s">
        <v>214</v>
      </c>
      <c r="E125" s="14" t="str">
        <f t="shared" si="1"/>
        <v>6/12/2012, Bismarck, North Dakota</v>
      </c>
    </row>
    <row r="126">
      <c r="A126" s="9">
        <v>41073.0</v>
      </c>
      <c r="B126" s="3" t="s">
        <v>215</v>
      </c>
      <c r="C126" s="3" t="s">
        <v>214</v>
      </c>
      <c r="E126" s="14" t="str">
        <f t="shared" si="1"/>
        <v>6/13/2012, Beach, North Dakota</v>
      </c>
    </row>
    <row r="127">
      <c r="A127" s="9">
        <v>41074.0</v>
      </c>
      <c r="B127" s="3" t="s">
        <v>216</v>
      </c>
      <c r="C127" s="3" t="s">
        <v>217</v>
      </c>
      <c r="E127" s="14" t="str">
        <f t="shared" si="1"/>
        <v>6/14/2012, Billings, Montana</v>
      </c>
    </row>
    <row r="128">
      <c r="A128" s="9">
        <v>41074.0</v>
      </c>
      <c r="B128" s="3" t="s">
        <v>218</v>
      </c>
      <c r="C128" s="3" t="s">
        <v>217</v>
      </c>
      <c r="E128" s="14" t="str">
        <f t="shared" si="1"/>
        <v>6/14/2012, Livingston, Montana</v>
      </c>
    </row>
    <row r="129">
      <c r="A129" s="9">
        <v>41075.0</v>
      </c>
      <c r="B129" s="3" t="s">
        <v>219</v>
      </c>
      <c r="C129" s="3" t="s">
        <v>220</v>
      </c>
      <c r="E129" s="14" t="str">
        <f t="shared" si="1"/>
        <v>6/15/2012, Pocatello, Idaho</v>
      </c>
    </row>
    <row r="130">
      <c r="A130" s="9">
        <v>41075.0</v>
      </c>
      <c r="B130" s="3" t="s">
        <v>221</v>
      </c>
      <c r="C130" s="3" t="s">
        <v>158</v>
      </c>
      <c r="E130" s="14" t="str">
        <f t="shared" si="1"/>
        <v>6/15/2012, Scipio, Utah</v>
      </c>
    </row>
    <row r="131">
      <c r="A131" s="9">
        <v>41076.0</v>
      </c>
      <c r="B131" s="3" t="s">
        <v>222</v>
      </c>
      <c r="C131" s="3" t="s">
        <v>158</v>
      </c>
      <c r="E131" s="14" t="str">
        <f t="shared" si="1"/>
        <v>6/16/2012, St. George, Utah</v>
      </c>
    </row>
    <row r="132">
      <c r="A132" s="9">
        <v>41076.0</v>
      </c>
      <c r="B132" s="3" t="s">
        <v>164</v>
      </c>
      <c r="C132" s="3" t="s">
        <v>17</v>
      </c>
      <c r="E132" s="14" t="str">
        <f t="shared" si="1"/>
        <v>6/16/2012, Barstow, California</v>
      </c>
    </row>
    <row r="133">
      <c r="A133" s="9">
        <v>41080.0</v>
      </c>
      <c r="B133" s="3" t="s">
        <v>171</v>
      </c>
      <c r="C133" s="3" t="s">
        <v>17</v>
      </c>
      <c r="E133" s="14" t="str">
        <f t="shared" si="1"/>
        <v>6/20/2012, Lake San Marcos, California</v>
      </c>
    </row>
    <row r="134">
      <c r="A134" s="9">
        <v>41264.0</v>
      </c>
      <c r="B134" s="3" t="s">
        <v>223</v>
      </c>
      <c r="C134" s="3" t="s">
        <v>17</v>
      </c>
      <c r="E134" s="14" t="str">
        <f t="shared" si="1"/>
        <v>12/21/2012, Leucadia, California</v>
      </c>
    </row>
    <row r="135">
      <c r="A135" s="9">
        <v>41268.0</v>
      </c>
      <c r="B135" s="3" t="s">
        <v>20</v>
      </c>
      <c r="C135" s="3" t="s">
        <v>17</v>
      </c>
      <c r="E135" s="14" t="str">
        <f t="shared" si="1"/>
        <v>12/25/2012, San Marcos, California</v>
      </c>
    </row>
    <row r="136">
      <c r="A136" s="9">
        <v>41269.0</v>
      </c>
      <c r="B136" s="3" t="s">
        <v>224</v>
      </c>
      <c r="C136" s="3" t="s">
        <v>17</v>
      </c>
      <c r="E136" s="14" t="str">
        <f t="shared" si="1"/>
        <v>12/26/2012, Kramer Junction, California</v>
      </c>
    </row>
    <row r="137">
      <c r="A137" s="9">
        <v>41269.0</v>
      </c>
      <c r="B137" s="3" t="s">
        <v>225</v>
      </c>
      <c r="C137" s="3" t="s">
        <v>17</v>
      </c>
      <c r="E137" s="14" t="str">
        <f t="shared" si="1"/>
        <v>12/26/2012, Death Valley, California</v>
      </c>
    </row>
    <row r="138">
      <c r="A138" s="9">
        <v>41270.0</v>
      </c>
      <c r="B138" s="3" t="s">
        <v>225</v>
      </c>
      <c r="C138" s="3" t="s">
        <v>17</v>
      </c>
      <c r="E138" s="14" t="str">
        <f t="shared" si="1"/>
        <v>12/27/2012, Death Valley, California</v>
      </c>
    </row>
    <row r="139">
      <c r="A139" s="9">
        <v>41271.0</v>
      </c>
      <c r="B139" s="3" t="s">
        <v>224</v>
      </c>
      <c r="C139" s="3" t="s">
        <v>17</v>
      </c>
      <c r="E139" s="14" t="str">
        <f t="shared" si="1"/>
        <v>12/28/2012, Kramer Junction, California</v>
      </c>
    </row>
    <row r="140">
      <c r="A140" s="9">
        <v>41273.0</v>
      </c>
      <c r="B140" s="3" t="s">
        <v>20</v>
      </c>
      <c r="C140" s="3" t="s">
        <v>17</v>
      </c>
      <c r="E140" s="14" t="str">
        <f t="shared" si="1"/>
        <v>12/30/2012, San Marcos, California</v>
      </c>
    </row>
    <row r="141">
      <c r="A141" s="9">
        <v>41302.0</v>
      </c>
      <c r="B141" s="3" t="s">
        <v>20</v>
      </c>
      <c r="C141" s="3" t="s">
        <v>17</v>
      </c>
      <c r="E141" s="14" t="str">
        <f t="shared" si="1"/>
        <v>1/28/2013, San Marcos, California</v>
      </c>
    </row>
    <row r="142">
      <c r="A142" s="9">
        <v>41392.0</v>
      </c>
      <c r="B142" s="3" t="s">
        <v>20</v>
      </c>
      <c r="C142" s="3" t="s">
        <v>17</v>
      </c>
      <c r="E142" s="14" t="str">
        <f t="shared" si="1"/>
        <v>4/28/2013, San Marcos, California</v>
      </c>
    </row>
    <row r="143">
      <c r="A143" s="9">
        <v>41489.0</v>
      </c>
      <c r="B143" s="3" t="s">
        <v>20</v>
      </c>
      <c r="C143" s="3" t="s">
        <v>17</v>
      </c>
      <c r="E143" s="14" t="str">
        <f t="shared" si="1"/>
        <v>8/3/2013, San Marcos, California</v>
      </c>
    </row>
    <row r="144">
      <c r="A144" s="9">
        <v>41490.0</v>
      </c>
      <c r="B144" s="3" t="s">
        <v>224</v>
      </c>
      <c r="C144" s="3" t="s">
        <v>17</v>
      </c>
      <c r="E144" s="14" t="str">
        <f t="shared" si="1"/>
        <v>8/4/2013, Kramer Junction, California</v>
      </c>
    </row>
    <row r="145">
      <c r="A145" s="9">
        <v>41490.0</v>
      </c>
      <c r="B145" s="3" t="s">
        <v>190</v>
      </c>
      <c r="C145" s="3" t="s">
        <v>17</v>
      </c>
      <c r="E145" s="14" t="str">
        <f t="shared" si="1"/>
        <v>8/4/2013, Bridgeport, California</v>
      </c>
    </row>
    <row r="146">
      <c r="A146" s="9">
        <v>41491.0</v>
      </c>
      <c r="B146" s="3" t="s">
        <v>228</v>
      </c>
      <c r="C146" s="3" t="s">
        <v>17</v>
      </c>
      <c r="E146" s="14" t="str">
        <f t="shared" si="1"/>
        <v>8/5/2013, Mt Shasta, California</v>
      </c>
    </row>
    <row r="147">
      <c r="A147" s="9">
        <v>41492.0</v>
      </c>
      <c r="B147" s="3" t="s">
        <v>229</v>
      </c>
      <c r="C147" s="3" t="s">
        <v>230</v>
      </c>
      <c r="E147" s="14" t="str">
        <f t="shared" si="1"/>
        <v>8/6/2013, Reedsport, Oregon</v>
      </c>
    </row>
    <row r="148">
      <c r="A148" s="9">
        <v>41493.0</v>
      </c>
      <c r="B148" s="3" t="s">
        <v>231</v>
      </c>
      <c r="C148" s="3" t="s">
        <v>232</v>
      </c>
      <c r="E148" s="14" t="str">
        <f t="shared" si="1"/>
        <v>8/7/2013, Raymond, Washington</v>
      </c>
    </row>
    <row r="149">
      <c r="A149" s="9">
        <v>41495.0</v>
      </c>
      <c r="B149" s="3" t="s">
        <v>233</v>
      </c>
      <c r="C149" s="3" t="s">
        <v>232</v>
      </c>
      <c r="E149" s="14" t="str">
        <f t="shared" si="1"/>
        <v>8/9/2013, Bellingham, Washington</v>
      </c>
    </row>
    <row r="150">
      <c r="A150" s="9">
        <v>41498.0</v>
      </c>
      <c r="B150" s="3" t="s">
        <v>235</v>
      </c>
      <c r="C150" s="3" t="s">
        <v>236</v>
      </c>
      <c r="E150" s="14" t="str">
        <f t="shared" si="1"/>
        <v>8/12/2013, Haines Junction, Yukon</v>
      </c>
    </row>
    <row r="151">
      <c r="A151" s="9">
        <v>41499.0</v>
      </c>
      <c r="B151" s="3" t="s">
        <v>239</v>
      </c>
      <c r="C151" s="3" t="s">
        <v>240</v>
      </c>
      <c r="E151" s="14" t="str">
        <f t="shared" si="1"/>
        <v>8/13/2013, Tok, Alaska</v>
      </c>
    </row>
    <row r="152">
      <c r="A152" s="9">
        <v>41501.0</v>
      </c>
      <c r="B152" s="3" t="s">
        <v>241</v>
      </c>
      <c r="C152" s="3" t="s">
        <v>240</v>
      </c>
      <c r="E152" s="14" t="str">
        <f t="shared" si="1"/>
        <v>8/15/2013, Fairbanks, Alaska</v>
      </c>
    </row>
    <row r="153">
      <c r="A153" s="9">
        <v>41503.0</v>
      </c>
      <c r="B153" s="3" t="s">
        <v>243</v>
      </c>
      <c r="C153" s="3" t="s">
        <v>240</v>
      </c>
      <c r="E153" s="14" t="str">
        <f t="shared" si="1"/>
        <v>8/17/2013, Yukon River Crossing, Alaska</v>
      </c>
    </row>
    <row r="154">
      <c r="A154" s="9">
        <v>41504.0</v>
      </c>
      <c r="B154" s="3" t="s">
        <v>243</v>
      </c>
      <c r="C154" s="3" t="s">
        <v>240</v>
      </c>
      <c r="E154" s="14" t="str">
        <f t="shared" si="1"/>
        <v>8/18/2013, Yukon River Crossing, Alaska</v>
      </c>
    </row>
    <row r="155">
      <c r="A155" s="9">
        <v>41506.0</v>
      </c>
      <c r="B155" s="3" t="s">
        <v>245</v>
      </c>
      <c r="C155" s="3" t="s">
        <v>240</v>
      </c>
      <c r="E155" s="14" t="str">
        <f t="shared" si="1"/>
        <v>8/20/2013, Ester, Alaska</v>
      </c>
    </row>
    <row r="156">
      <c r="A156" s="9">
        <v>41506.0</v>
      </c>
      <c r="B156" s="3" t="s">
        <v>246</v>
      </c>
      <c r="C156" s="3" t="s">
        <v>240</v>
      </c>
      <c r="E156" s="14" t="str">
        <f t="shared" si="1"/>
        <v>8/20/2013, Trapper Creek, Alaska</v>
      </c>
    </row>
    <row r="157">
      <c r="A157" s="9">
        <v>41507.0</v>
      </c>
      <c r="B157" s="3" t="s">
        <v>247</v>
      </c>
      <c r="C157" s="3" t="s">
        <v>240</v>
      </c>
      <c r="E157" s="14" t="str">
        <f t="shared" si="1"/>
        <v>8/21/2013, Sterling, Alaska</v>
      </c>
    </row>
    <row r="158">
      <c r="A158" s="9">
        <v>41511.0</v>
      </c>
      <c r="B158" s="3" t="s">
        <v>248</v>
      </c>
      <c r="C158" s="3" t="s">
        <v>240</v>
      </c>
      <c r="E158" s="14" t="str">
        <f t="shared" si="1"/>
        <v>8/25/2013, Homer, Alaska</v>
      </c>
    </row>
    <row r="159">
      <c r="A159" s="9">
        <v>41517.0</v>
      </c>
      <c r="B159" s="3" t="s">
        <v>250</v>
      </c>
      <c r="C159" s="3" t="s">
        <v>232</v>
      </c>
      <c r="E159" s="14" t="str">
        <f t="shared" si="1"/>
        <v>8/31/2013, Lakewood, Washington</v>
      </c>
    </row>
    <row r="160">
      <c r="A160" s="9">
        <v>41517.0</v>
      </c>
      <c r="B160" s="3" t="s">
        <v>251</v>
      </c>
      <c r="C160" s="3" t="s">
        <v>230</v>
      </c>
      <c r="E160" s="14" t="str">
        <f t="shared" si="1"/>
        <v>8/31/2013, Oakland, Oregon</v>
      </c>
    </row>
    <row r="161">
      <c r="A161" s="9">
        <v>41518.0</v>
      </c>
      <c r="B161" s="3" t="s">
        <v>252</v>
      </c>
      <c r="C161" s="3" t="s">
        <v>17</v>
      </c>
      <c r="E161" s="14" t="str">
        <f t="shared" si="1"/>
        <v>9/1/2013, Redding, California</v>
      </c>
    </row>
    <row r="162">
      <c r="A162" s="9">
        <v>41519.0</v>
      </c>
      <c r="B162" s="3" t="s">
        <v>253</v>
      </c>
      <c r="C162" s="3" t="s">
        <v>17</v>
      </c>
      <c r="E162" s="14" t="str">
        <f t="shared" si="1"/>
        <v>9/2/2013, San Mateo, California</v>
      </c>
    </row>
    <row r="163">
      <c r="A163" s="9">
        <v>41521.0</v>
      </c>
      <c r="B163" s="3" t="s">
        <v>254</v>
      </c>
      <c r="C163" s="3" t="s">
        <v>17</v>
      </c>
      <c r="E163" s="14" t="str">
        <f t="shared" si="1"/>
        <v>9/4/2013, Morro Bay, California</v>
      </c>
    </row>
    <row r="164">
      <c r="A164" s="9">
        <v>41523.0</v>
      </c>
      <c r="B164" s="3" t="s">
        <v>165</v>
      </c>
      <c r="C164" s="3" t="s">
        <v>17</v>
      </c>
      <c r="E164" s="14" t="str">
        <f t="shared" si="1"/>
        <v>9/6/2013, Signal Hill, California</v>
      </c>
    </row>
    <row r="165">
      <c r="A165" s="9">
        <v>41629.0</v>
      </c>
      <c r="B165" s="3" t="s">
        <v>20</v>
      </c>
      <c r="C165" s="3" t="s">
        <v>17</v>
      </c>
      <c r="E165" s="14" t="str">
        <f t="shared" si="1"/>
        <v>12/21/2013, San Marcos, California</v>
      </c>
    </row>
    <row r="166">
      <c r="A166" s="9">
        <v>41634.0</v>
      </c>
      <c r="B166" s="3" t="s">
        <v>20</v>
      </c>
      <c r="C166" s="3" t="s">
        <v>17</v>
      </c>
      <c r="E166" s="14" t="str">
        <f t="shared" si="1"/>
        <v>12/26/2013, San Marcos, California</v>
      </c>
    </row>
    <row r="167">
      <c r="A167" s="9">
        <v>41638.0</v>
      </c>
      <c r="B167" s="3" t="s">
        <v>20</v>
      </c>
      <c r="C167" s="3" t="s">
        <v>17</v>
      </c>
      <c r="E167" s="14" t="str">
        <f t="shared" si="1"/>
        <v>12/30/2013, San Marcos, California</v>
      </c>
    </row>
    <row r="168">
      <c r="A168" s="9">
        <v>41678.0</v>
      </c>
      <c r="B168" s="3" t="s">
        <v>20</v>
      </c>
      <c r="C168" s="3" t="s">
        <v>17</v>
      </c>
      <c r="E168" s="14" t="str">
        <f t="shared" si="1"/>
        <v>2/8/2014, San Marcos, California</v>
      </c>
    </row>
    <row r="169">
      <c r="A169" s="9">
        <v>41759.0</v>
      </c>
      <c r="B169" s="3" t="s">
        <v>164</v>
      </c>
      <c r="C169" s="3" t="s">
        <v>17</v>
      </c>
      <c r="E169" s="14" t="str">
        <f t="shared" si="1"/>
        <v>4/30/2014, Barstow, California</v>
      </c>
    </row>
    <row r="170">
      <c r="A170" s="9">
        <v>41760.0</v>
      </c>
      <c r="B170" s="3" t="s">
        <v>162</v>
      </c>
      <c r="C170" s="3" t="s">
        <v>163</v>
      </c>
      <c r="E170" s="14" t="str">
        <f t="shared" si="1"/>
        <v>5/1/2014, Las Vegas, Nevada</v>
      </c>
    </row>
    <row r="171">
      <c r="A171" s="9">
        <v>41762.0</v>
      </c>
      <c r="B171" s="3" t="s">
        <v>256</v>
      </c>
      <c r="C171" s="3" t="s">
        <v>27</v>
      </c>
      <c r="E171" s="14" t="str">
        <f t="shared" si="1"/>
        <v>5/3/2014, Williams, Arizona</v>
      </c>
    </row>
    <row r="172">
      <c r="A172" s="9">
        <v>41762.0</v>
      </c>
      <c r="B172" s="3" t="s">
        <v>257</v>
      </c>
      <c r="C172" s="3" t="s">
        <v>27</v>
      </c>
      <c r="E172" s="14" t="str">
        <f t="shared" si="1"/>
        <v>5/3/2014, Holbrook, Arizona</v>
      </c>
    </row>
    <row r="173">
      <c r="A173" s="9">
        <v>41763.0</v>
      </c>
      <c r="B173" s="3" t="s">
        <v>30</v>
      </c>
      <c r="C173" s="3" t="s">
        <v>27</v>
      </c>
      <c r="E173" s="14" t="str">
        <f t="shared" si="1"/>
        <v>5/4/2014, Deming, Arizona</v>
      </c>
    </row>
    <row r="174">
      <c r="A174" s="9">
        <v>41764.0</v>
      </c>
      <c r="B174" s="3" t="s">
        <v>175</v>
      </c>
      <c r="C174" s="3" t="s">
        <v>33</v>
      </c>
      <c r="E174" s="14" t="str">
        <f t="shared" si="1"/>
        <v>5/5/2014, Van Horn, Texas</v>
      </c>
    </row>
    <row r="175">
      <c r="A175" s="9">
        <v>41764.0</v>
      </c>
      <c r="B175" s="3" t="s">
        <v>258</v>
      </c>
      <c r="C175" s="3" t="s">
        <v>33</v>
      </c>
      <c r="E175" s="14" t="str">
        <f t="shared" si="1"/>
        <v>5/5/2014, Ozona, Texas</v>
      </c>
    </row>
    <row r="176">
      <c r="A176" s="9">
        <v>41765.0</v>
      </c>
      <c r="B176" s="3" t="s">
        <v>259</v>
      </c>
      <c r="C176" s="3" t="s">
        <v>33</v>
      </c>
      <c r="E176" s="14" t="str">
        <f t="shared" si="1"/>
        <v>5/6/2014, San Antonio, Texas</v>
      </c>
    </row>
    <row r="177">
      <c r="A177" s="9">
        <v>41765.0</v>
      </c>
      <c r="B177" s="3" t="s">
        <v>260</v>
      </c>
      <c r="C177" s="3" t="s">
        <v>33</v>
      </c>
      <c r="E177" s="14" t="str">
        <f t="shared" si="1"/>
        <v>5/6/2014, Beaumont, Texas</v>
      </c>
    </row>
    <row r="178">
      <c r="A178" s="9">
        <v>41766.0</v>
      </c>
      <c r="B178" s="3" t="s">
        <v>261</v>
      </c>
      <c r="C178" s="3" t="s">
        <v>141</v>
      </c>
      <c r="E178" s="14" t="str">
        <f t="shared" si="1"/>
        <v>5/7/2014, New Orleans, Louisiana</v>
      </c>
    </row>
    <row r="179">
      <c r="A179" s="9">
        <v>41766.0</v>
      </c>
      <c r="B179" s="3" t="s">
        <v>262</v>
      </c>
      <c r="C179" s="3" t="s">
        <v>263</v>
      </c>
      <c r="E179" s="14" t="str">
        <f t="shared" si="1"/>
        <v>5/7/2014, Atmore, Alabama</v>
      </c>
    </row>
    <row r="180">
      <c r="A180" s="9">
        <v>41767.0</v>
      </c>
      <c r="B180" s="3" t="s">
        <v>264</v>
      </c>
      <c r="C180" s="3" t="s">
        <v>263</v>
      </c>
      <c r="E180" s="14" t="str">
        <f t="shared" si="1"/>
        <v>5/8/2014, Trussville, Alabama</v>
      </c>
    </row>
    <row r="181">
      <c r="A181" s="9">
        <v>41767.0</v>
      </c>
      <c r="B181" s="3" t="s">
        <v>265</v>
      </c>
      <c r="C181" s="3" t="s">
        <v>266</v>
      </c>
      <c r="E181" s="14" t="str">
        <f t="shared" si="1"/>
        <v>5/8/2014, Madisonville, Tennessee</v>
      </c>
    </row>
    <row r="182">
      <c r="A182" s="9">
        <v>41774.0</v>
      </c>
      <c r="B182" s="3" t="s">
        <v>267</v>
      </c>
      <c r="C182" s="3" t="s">
        <v>83</v>
      </c>
      <c r="E182" s="14" t="str">
        <f t="shared" si="1"/>
        <v>5/15/2014, Conover, North Carolina</v>
      </c>
    </row>
    <row r="183">
      <c r="A183" s="9">
        <v>41775.0</v>
      </c>
      <c r="B183" s="3" t="s">
        <v>269</v>
      </c>
      <c r="C183" s="3" t="s">
        <v>57</v>
      </c>
      <c r="E183" s="14" t="str">
        <f t="shared" si="1"/>
        <v>5/16/2014, Colonial Heights, Virginia</v>
      </c>
    </row>
    <row r="184">
      <c r="A184" s="9">
        <v>41776.0</v>
      </c>
      <c r="B184" s="3" t="s">
        <v>271</v>
      </c>
      <c r="C184" s="3" t="s">
        <v>272</v>
      </c>
      <c r="E184" s="14" t="str">
        <f t="shared" si="1"/>
        <v>5/17/2014, Bellmawr, New Jersey</v>
      </c>
    </row>
    <row r="185">
      <c r="A185" s="9">
        <v>41776.0</v>
      </c>
      <c r="B185" s="3" t="s">
        <v>188</v>
      </c>
      <c r="C185" s="3" t="s">
        <v>67</v>
      </c>
      <c r="E185" s="14" t="str">
        <f t="shared" si="1"/>
        <v>5/17/2014, Douglas, Massachusetts</v>
      </c>
    </row>
    <row r="186">
      <c r="A186" s="9">
        <v>41779.0</v>
      </c>
      <c r="B186" s="3" t="s">
        <v>273</v>
      </c>
      <c r="C186" s="3" t="s">
        <v>274</v>
      </c>
      <c r="E186" s="14" t="str">
        <f t="shared" si="1"/>
        <v>5/20/2014, Lebanon, New Hampshire</v>
      </c>
    </row>
    <row r="187">
      <c r="A187" s="9">
        <v>41781.0</v>
      </c>
      <c r="B187" s="3" t="s">
        <v>275</v>
      </c>
      <c r="C187" s="3" t="s">
        <v>276</v>
      </c>
      <c r="E187" s="14" t="str">
        <f t="shared" si="1"/>
        <v>5/22/2014, Yarmouth, Maine</v>
      </c>
    </row>
    <row r="188">
      <c r="A188" s="9">
        <v>41782.0</v>
      </c>
      <c r="B188" s="3" t="s">
        <v>277</v>
      </c>
      <c r="C188" s="3" t="s">
        <v>276</v>
      </c>
      <c r="E188" s="14" t="str">
        <f t="shared" si="1"/>
        <v>5/23/2014, Calais, Maine</v>
      </c>
    </row>
    <row r="189">
      <c r="A189" s="9">
        <v>41783.0</v>
      </c>
      <c r="B189" s="3" t="s">
        <v>347</v>
      </c>
      <c r="C189" s="3" t="s">
        <v>348</v>
      </c>
      <c r="E189" s="14" t="str">
        <f t="shared" si="1"/>
        <v>5/24/2014, Timber River, New Brunswick</v>
      </c>
    </row>
    <row r="190">
      <c r="A190" s="9">
        <v>41784.0</v>
      </c>
      <c r="B190" s="3" t="s">
        <v>349</v>
      </c>
      <c r="C190" s="3" t="s">
        <v>350</v>
      </c>
      <c r="E190" s="14" t="str">
        <f t="shared" si="1"/>
        <v>5/25/2014, Belle Cote, Nova Scotia</v>
      </c>
    </row>
    <row r="191">
      <c r="A191" s="9">
        <v>41784.0</v>
      </c>
      <c r="B191" s="3" t="s">
        <v>351</v>
      </c>
      <c r="C191" s="3" t="s">
        <v>350</v>
      </c>
      <c r="E191" s="14" t="str">
        <f t="shared" si="1"/>
        <v>5/25/2014, Sydney Mines, Nova Scotia</v>
      </c>
    </row>
    <row r="192">
      <c r="A192" s="9">
        <v>41785.0</v>
      </c>
      <c r="B192" s="3" t="s">
        <v>352</v>
      </c>
      <c r="C192" s="3" t="s">
        <v>353</v>
      </c>
      <c r="E192" s="14" t="str">
        <f t="shared" si="1"/>
        <v>5/26/2014, Corner Brook, Newfoundland</v>
      </c>
    </row>
    <row r="193">
      <c r="A193" s="9">
        <v>41787.0</v>
      </c>
      <c r="B193" s="3" t="s">
        <v>354</v>
      </c>
      <c r="C193" s="3" t="s">
        <v>353</v>
      </c>
      <c r="E193" s="14" t="str">
        <f t="shared" si="1"/>
        <v>5/28/2014, Woody Point, Newfoundland</v>
      </c>
    </row>
    <row r="194">
      <c r="A194" s="9">
        <v>41787.0</v>
      </c>
      <c r="B194" s="3" t="s">
        <v>355</v>
      </c>
      <c r="C194" s="3" t="s">
        <v>353</v>
      </c>
      <c r="E194" s="14" t="str">
        <f t="shared" si="1"/>
        <v>5/28/2014, Port Aux Basques, Newfoundland</v>
      </c>
    </row>
    <row r="195">
      <c r="A195" s="9">
        <v>41788.0</v>
      </c>
      <c r="B195" s="3" t="s">
        <v>356</v>
      </c>
      <c r="C195" s="3" t="s">
        <v>348</v>
      </c>
      <c r="E195" s="14" t="str">
        <f t="shared" si="1"/>
        <v>5/29/2014, Aulac, New Brunswick</v>
      </c>
    </row>
    <row r="196">
      <c r="A196" s="9">
        <v>41788.0</v>
      </c>
      <c r="B196" s="3" t="s">
        <v>357</v>
      </c>
      <c r="C196" s="3" t="s">
        <v>348</v>
      </c>
      <c r="E196" s="14" t="str">
        <f t="shared" si="1"/>
        <v>5/29/2014, Beardsley, New Brunswick</v>
      </c>
    </row>
    <row r="197">
      <c r="A197" s="9">
        <v>41789.0</v>
      </c>
      <c r="B197" s="3" t="s">
        <v>358</v>
      </c>
      <c r="C197" s="3" t="s">
        <v>359</v>
      </c>
      <c r="E197" s="14" t="str">
        <f t="shared" si="1"/>
        <v>5/30/2014, St. Jean-Pont Joli, Quebec</v>
      </c>
    </row>
    <row r="198">
      <c r="A198" s="9">
        <v>41791.0</v>
      </c>
      <c r="B198" s="3" t="s">
        <v>360</v>
      </c>
      <c r="C198" s="3" t="s">
        <v>359</v>
      </c>
      <c r="E198" s="14" t="str">
        <f t="shared" si="1"/>
        <v>6/1/2014, Saint Lazare, Quebec</v>
      </c>
    </row>
    <row r="199">
      <c r="A199" s="9">
        <v>41791.0</v>
      </c>
      <c r="B199" s="3" t="s">
        <v>361</v>
      </c>
      <c r="C199" s="3" t="s">
        <v>362</v>
      </c>
      <c r="E199" s="14" t="str">
        <f t="shared" si="1"/>
        <v>6/1/2014, North Bay, Ontario</v>
      </c>
    </row>
    <row r="200">
      <c r="A200" s="9">
        <v>41792.0</v>
      </c>
      <c r="B200" s="3" t="s">
        <v>363</v>
      </c>
      <c r="C200" s="3" t="s">
        <v>362</v>
      </c>
      <c r="E200" s="14" t="str">
        <f t="shared" si="1"/>
        <v>6/2/2014, Sault St. Marie, Ontario</v>
      </c>
    </row>
    <row r="201">
      <c r="A201" s="9">
        <v>41793.0</v>
      </c>
      <c r="B201" s="3" t="s">
        <v>364</v>
      </c>
      <c r="C201" s="3" t="s">
        <v>362</v>
      </c>
      <c r="E201" s="14" t="str">
        <f t="shared" si="1"/>
        <v>6/3/2014, Wawa, Ontario</v>
      </c>
    </row>
    <row r="202">
      <c r="A202" s="9">
        <v>41793.0</v>
      </c>
      <c r="B202" s="3" t="s">
        <v>365</v>
      </c>
      <c r="C202" s="3" t="s">
        <v>362</v>
      </c>
      <c r="E202" s="14" t="str">
        <f t="shared" si="1"/>
        <v>6/3/2014, Shuniah, Ontario</v>
      </c>
    </row>
    <row r="203">
      <c r="A203" s="9">
        <v>41794.0</v>
      </c>
      <c r="B203" s="3" t="s">
        <v>366</v>
      </c>
      <c r="C203" s="3" t="s">
        <v>362</v>
      </c>
      <c r="E203" s="14" t="str">
        <f t="shared" si="1"/>
        <v>6/4/2014, Dryden, Ontario</v>
      </c>
    </row>
    <row r="204">
      <c r="A204" s="9">
        <v>41795.0</v>
      </c>
      <c r="B204" s="3" t="s">
        <v>367</v>
      </c>
      <c r="C204" s="3" t="s">
        <v>368</v>
      </c>
      <c r="E204" s="14" t="str">
        <f t="shared" si="1"/>
        <v>6/5/2014, Brandon, Manitoba</v>
      </c>
    </row>
    <row r="205">
      <c r="A205" s="9">
        <v>41796.0</v>
      </c>
      <c r="B205" s="3" t="s">
        <v>369</v>
      </c>
      <c r="C205" s="3" t="s">
        <v>370</v>
      </c>
      <c r="E205" s="14" t="str">
        <f t="shared" si="1"/>
        <v>6/6/2014, Regina, Saskatchwan</v>
      </c>
    </row>
    <row r="206">
      <c r="A206" s="9">
        <v>41796.0</v>
      </c>
      <c r="B206" s="3" t="s">
        <v>371</v>
      </c>
      <c r="C206" s="3" t="s">
        <v>370</v>
      </c>
      <c r="E206" s="14" t="str">
        <f t="shared" si="1"/>
        <v>6/6/2014, Maple Creek, Saskatchwan</v>
      </c>
    </row>
    <row r="207">
      <c r="A207" s="9">
        <v>41797.0</v>
      </c>
      <c r="B207" s="3" t="s">
        <v>372</v>
      </c>
      <c r="C207" s="3" t="s">
        <v>373</v>
      </c>
      <c r="E207" s="14" t="str">
        <f t="shared" si="1"/>
        <v>6/7/2014, Blairmore, Alberta</v>
      </c>
    </row>
    <row r="208">
      <c r="A208" s="9">
        <v>41798.0</v>
      </c>
      <c r="B208" s="3" t="s">
        <v>279</v>
      </c>
      <c r="C208" s="3" t="s">
        <v>217</v>
      </c>
      <c r="E208" s="14" t="str">
        <f t="shared" si="1"/>
        <v>6/8/2014, Missoula, Montana</v>
      </c>
    </row>
    <row r="209">
      <c r="A209" s="9">
        <v>41799.0</v>
      </c>
      <c r="B209" s="3" t="s">
        <v>72</v>
      </c>
      <c r="C209" s="3" t="s">
        <v>232</v>
      </c>
      <c r="E209" s="14" t="str">
        <f t="shared" si="1"/>
        <v>6/9/2014, Dayton, Washington</v>
      </c>
    </row>
    <row r="210">
      <c r="A210" s="9">
        <v>41800.0</v>
      </c>
      <c r="B210" s="3" t="s">
        <v>281</v>
      </c>
      <c r="C210" s="3" t="s">
        <v>230</v>
      </c>
      <c r="E210" s="14" t="str">
        <f t="shared" si="1"/>
        <v>6/10/2014, Canyon City, Oregon</v>
      </c>
    </row>
    <row r="211">
      <c r="A211" s="9">
        <v>41800.0</v>
      </c>
      <c r="B211" s="3" t="s">
        <v>282</v>
      </c>
      <c r="C211" s="3" t="s">
        <v>17</v>
      </c>
      <c r="E211" s="14" t="str">
        <f t="shared" si="1"/>
        <v>6/10/2014, Alturas, California</v>
      </c>
    </row>
    <row r="212">
      <c r="A212" s="9">
        <v>41801.0</v>
      </c>
      <c r="B212" s="3" t="s">
        <v>190</v>
      </c>
      <c r="C212" s="3" t="s">
        <v>17</v>
      </c>
      <c r="E212" s="14" t="str">
        <f t="shared" si="1"/>
        <v>6/11/2014, Bridgeport, California</v>
      </c>
    </row>
    <row r="213">
      <c r="A213" s="9">
        <v>41802.0</v>
      </c>
      <c r="B213" s="3" t="s">
        <v>283</v>
      </c>
      <c r="C213" s="3" t="s">
        <v>17</v>
      </c>
      <c r="E213" s="14" t="str">
        <f t="shared" si="1"/>
        <v>6/12/2014, Landcaster, California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8" width="15.13"/>
  </cols>
  <sheetData>
    <row r="1">
      <c r="A1" s="3" t="s">
        <v>346</v>
      </c>
      <c r="B1" s="3" t="s">
        <v>374</v>
      </c>
      <c r="C1" s="3" t="s">
        <v>375</v>
      </c>
      <c r="D1" s="3" t="s">
        <v>376</v>
      </c>
      <c r="E1" s="3" t="s">
        <v>1</v>
      </c>
      <c r="F1" s="3" t="s">
        <v>377</v>
      </c>
      <c r="G1" s="3" t="s">
        <v>375</v>
      </c>
      <c r="H1" s="3" t="s">
        <v>376</v>
      </c>
      <c r="I1" s="3" t="s">
        <v>378</v>
      </c>
      <c r="J1" s="3" t="s">
        <v>379</v>
      </c>
    </row>
    <row r="2">
      <c r="A2" s="9">
        <v>40605.0</v>
      </c>
      <c r="G2" s="3">
        <v>83.0</v>
      </c>
      <c r="H2" s="3">
        <v>11552.0</v>
      </c>
      <c r="I2" s="3" t="s">
        <v>171</v>
      </c>
      <c r="J2" s="3" t="s">
        <v>380</v>
      </c>
    </row>
    <row r="3">
      <c r="A3" s="9">
        <v>40669.0</v>
      </c>
      <c r="B3" s="37">
        <v>0.23472222222222222</v>
      </c>
      <c r="C3" s="3">
        <v>57.0</v>
      </c>
      <c r="D3" s="3">
        <v>11660.0</v>
      </c>
      <c r="E3" s="3" t="s">
        <v>171</v>
      </c>
      <c r="I3" s="3" t="s">
        <v>381</v>
      </c>
      <c r="J3" s="3" t="s">
        <v>382</v>
      </c>
    </row>
    <row r="4">
      <c r="A4" s="9">
        <v>40670.0</v>
      </c>
      <c r="B4" s="37">
        <v>0.3298611111111111</v>
      </c>
      <c r="C4" s="3">
        <v>55.0</v>
      </c>
      <c r="D4" s="3">
        <v>12147.0</v>
      </c>
      <c r="E4" s="3" t="s">
        <v>381</v>
      </c>
      <c r="I4" s="3" t="s">
        <v>383</v>
      </c>
    </row>
    <row r="5">
      <c r="A5" s="9" t="s">
        <v>384</v>
      </c>
      <c r="B5" s="37">
        <v>0.3194444444444444</v>
      </c>
      <c r="C5" s="3">
        <v>47.0</v>
      </c>
      <c r="D5" s="3">
        <v>12508.0</v>
      </c>
      <c r="E5" s="3" t="s">
        <v>383</v>
      </c>
      <c r="I5" s="3" t="s">
        <v>383</v>
      </c>
    </row>
    <row r="6">
      <c r="A6" s="9">
        <v>40672.0</v>
      </c>
      <c r="B6" s="37">
        <v>0.33611111111111114</v>
      </c>
      <c r="C6" s="3">
        <v>46.0</v>
      </c>
      <c r="D6" s="3">
        <v>12610.0</v>
      </c>
      <c r="E6" s="3" t="s">
        <v>383</v>
      </c>
      <c r="I6" s="3" t="s">
        <v>123</v>
      </c>
    </row>
    <row r="7">
      <c r="A7" s="9">
        <v>40673.0</v>
      </c>
      <c r="B7" s="37">
        <v>0.4305555555555556</v>
      </c>
      <c r="C7" s="3">
        <v>76.0</v>
      </c>
      <c r="D7" s="3">
        <v>12850.0</v>
      </c>
      <c r="E7" s="3" t="s">
        <v>123</v>
      </c>
      <c r="I7" s="3" t="s">
        <v>385</v>
      </c>
    </row>
    <row r="8">
      <c r="A8" s="9">
        <v>40674.0</v>
      </c>
      <c r="B8" s="37">
        <v>0.35138888888888886</v>
      </c>
      <c r="C8" s="3">
        <v>54.0</v>
      </c>
      <c r="D8" s="3">
        <v>13154.0</v>
      </c>
      <c r="E8" s="3" t="s">
        <v>385</v>
      </c>
      <c r="F8" s="37">
        <v>0.725</v>
      </c>
      <c r="G8" s="3">
        <v>64.0</v>
      </c>
      <c r="H8" s="3">
        <v>13461.0</v>
      </c>
      <c r="I8" s="3" t="s">
        <v>171</v>
      </c>
      <c r="J8" s="3" t="s">
        <v>386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3" t="s">
        <v>346</v>
      </c>
      <c r="B1" s="3" t="s">
        <v>1</v>
      </c>
      <c r="C1" s="3" t="s">
        <v>387</v>
      </c>
      <c r="D1" s="3" t="s">
        <v>3</v>
      </c>
      <c r="E1" s="3" t="s">
        <v>388</v>
      </c>
      <c r="F1" s="3" t="s">
        <v>376</v>
      </c>
      <c r="G1" s="3" t="s">
        <v>389</v>
      </c>
      <c r="H1" s="3" t="s">
        <v>390</v>
      </c>
      <c r="J1" s="3" t="s">
        <v>391</v>
      </c>
      <c r="K1" s="3" t="s">
        <v>392</v>
      </c>
      <c r="L1" s="3" t="s">
        <v>393</v>
      </c>
      <c r="M1" s="3" t="s">
        <v>394</v>
      </c>
    </row>
    <row r="2">
      <c r="A2" s="9">
        <v>41783.0</v>
      </c>
      <c r="B2" s="3" t="s">
        <v>347</v>
      </c>
      <c r="C2" s="3" t="s">
        <v>348</v>
      </c>
      <c r="D2" s="3" t="s">
        <v>395</v>
      </c>
      <c r="E2" s="3">
        <v>1.446</v>
      </c>
      <c r="F2" s="3">
        <v>45576.0</v>
      </c>
      <c r="G2" s="3">
        <v>24.194</v>
      </c>
      <c r="H2" s="3">
        <v>34.98</v>
      </c>
      <c r="J2" s="14">
        <f t="shared" ref="J2:J20" si="1">E2*$F$24</f>
        <v>1.33032</v>
      </c>
      <c r="K2" s="14">
        <f t="shared" ref="K2:K20" si="2">J2/$F$25</f>
        <v>5.035810003</v>
      </c>
      <c r="L2" s="14">
        <f t="shared" ref="L2:L20" si="3">G2*$F$25</f>
        <v>6.391377368</v>
      </c>
      <c r="M2" s="14">
        <f t="shared" ref="M2:M20" si="4">H2*$F$24</f>
        <v>32.1816</v>
      </c>
    </row>
    <row r="3">
      <c r="A3" s="9">
        <v>41784.0</v>
      </c>
      <c r="B3" s="3" t="s">
        <v>349</v>
      </c>
      <c r="C3" s="3" t="s">
        <v>350</v>
      </c>
      <c r="D3" s="3" t="s">
        <v>396</v>
      </c>
      <c r="E3" s="3">
        <v>1.495</v>
      </c>
      <c r="F3" s="3">
        <v>45859.0</v>
      </c>
      <c r="G3" s="3">
        <v>25.157</v>
      </c>
      <c r="H3" s="3">
        <v>37.61</v>
      </c>
      <c r="J3" s="14">
        <f t="shared" si="1"/>
        <v>1.3754</v>
      </c>
      <c r="K3" s="14">
        <f t="shared" si="2"/>
        <v>5.2064564</v>
      </c>
      <c r="L3" s="14">
        <f t="shared" si="3"/>
        <v>6.645775004</v>
      </c>
      <c r="M3" s="14">
        <f t="shared" si="4"/>
        <v>34.6012</v>
      </c>
    </row>
    <row r="4">
      <c r="A4" s="9">
        <v>41784.0</v>
      </c>
      <c r="B4" s="3" t="s">
        <v>351</v>
      </c>
      <c r="C4" s="3" t="s">
        <v>350</v>
      </c>
      <c r="D4" s="3" t="s">
        <v>395</v>
      </c>
      <c r="E4" s="3">
        <v>1.496</v>
      </c>
      <c r="F4" s="3">
        <v>46034.0</v>
      </c>
      <c r="G4" s="3">
        <v>15.42</v>
      </c>
      <c r="H4" s="3">
        <v>23.07</v>
      </c>
      <c r="J4" s="14">
        <f t="shared" si="1"/>
        <v>1.37632</v>
      </c>
      <c r="K4" s="14">
        <f t="shared" si="2"/>
        <v>5.209938979</v>
      </c>
      <c r="L4" s="14">
        <f t="shared" si="3"/>
        <v>4.07353224</v>
      </c>
      <c r="M4" s="14">
        <f t="shared" si="4"/>
        <v>21.2244</v>
      </c>
    </row>
    <row r="5">
      <c r="A5" s="9">
        <v>41785.0</v>
      </c>
      <c r="B5" s="3" t="s">
        <v>352</v>
      </c>
      <c r="C5" s="3" t="s">
        <v>353</v>
      </c>
      <c r="D5" s="3" t="s">
        <v>397</v>
      </c>
      <c r="E5" s="3">
        <v>1.472</v>
      </c>
      <c r="F5" s="3">
        <v>46174.0</v>
      </c>
      <c r="G5" s="3">
        <v>13.416</v>
      </c>
      <c r="H5" s="3">
        <v>19.75</v>
      </c>
      <c r="J5" s="14">
        <f t="shared" si="1"/>
        <v>1.35424</v>
      </c>
      <c r="K5" s="14">
        <f t="shared" si="2"/>
        <v>5.12635707</v>
      </c>
      <c r="L5" s="14">
        <f t="shared" si="3"/>
        <v>3.544131552</v>
      </c>
      <c r="M5" s="14">
        <f t="shared" si="4"/>
        <v>18.17</v>
      </c>
    </row>
    <row r="6">
      <c r="A6" s="9">
        <v>41787.0</v>
      </c>
      <c r="B6" s="3" t="s">
        <v>354</v>
      </c>
      <c r="C6" s="3" t="s">
        <v>353</v>
      </c>
      <c r="D6" s="3" t="s">
        <v>398</v>
      </c>
      <c r="E6" s="3">
        <v>1.412</v>
      </c>
      <c r="F6" s="3">
        <v>46421.0</v>
      </c>
      <c r="G6" s="3">
        <v>14.161</v>
      </c>
      <c r="H6" s="3">
        <v>20.0</v>
      </c>
      <c r="I6" s="3" t="s">
        <v>399</v>
      </c>
      <c r="J6" s="14">
        <f t="shared" si="1"/>
        <v>1.29904</v>
      </c>
      <c r="K6" s="14">
        <f t="shared" si="2"/>
        <v>4.917402299</v>
      </c>
      <c r="L6" s="14">
        <f t="shared" si="3"/>
        <v>3.740939692</v>
      </c>
      <c r="M6" s="14">
        <f t="shared" si="4"/>
        <v>18.4</v>
      </c>
    </row>
    <row r="7">
      <c r="A7" s="9">
        <v>41787.0</v>
      </c>
      <c r="B7" s="3" t="s">
        <v>355</v>
      </c>
      <c r="C7" s="3" t="s">
        <v>353</v>
      </c>
      <c r="D7" s="3" t="s">
        <v>400</v>
      </c>
      <c r="E7" s="3">
        <v>1.48</v>
      </c>
      <c r="F7" s="3">
        <v>46617.0</v>
      </c>
      <c r="G7" s="3">
        <v>26.952</v>
      </c>
      <c r="H7" s="3">
        <v>39.89</v>
      </c>
      <c r="J7" s="14">
        <f t="shared" si="1"/>
        <v>1.3616</v>
      </c>
      <c r="K7" s="14">
        <f t="shared" si="2"/>
        <v>5.154217707</v>
      </c>
      <c r="L7" s="14">
        <f t="shared" si="3"/>
        <v>7.119963744</v>
      </c>
      <c r="M7" s="14">
        <f t="shared" si="4"/>
        <v>36.6988</v>
      </c>
    </row>
    <row r="8">
      <c r="A8" s="9">
        <v>41788.0</v>
      </c>
      <c r="B8" s="3" t="s">
        <v>356</v>
      </c>
      <c r="C8" s="3" t="s">
        <v>348</v>
      </c>
      <c r="D8" s="3" t="s">
        <v>400</v>
      </c>
      <c r="E8" s="3">
        <v>1.432</v>
      </c>
      <c r="F8" s="3">
        <v>46881.0</v>
      </c>
      <c r="G8" s="3">
        <v>22.162</v>
      </c>
      <c r="H8" s="3">
        <v>31.74</v>
      </c>
      <c r="J8" s="14">
        <f t="shared" si="1"/>
        <v>1.31744</v>
      </c>
      <c r="K8" s="14">
        <f t="shared" si="2"/>
        <v>4.987053889</v>
      </c>
      <c r="L8" s="14">
        <f t="shared" si="3"/>
        <v>5.854579864</v>
      </c>
      <c r="M8" s="14">
        <f t="shared" si="4"/>
        <v>29.2008</v>
      </c>
    </row>
    <row r="9">
      <c r="A9" s="9">
        <v>41788.0</v>
      </c>
      <c r="B9" s="3" t="s">
        <v>357</v>
      </c>
      <c r="C9" s="3" t="s">
        <v>348</v>
      </c>
      <c r="D9" s="3" t="s">
        <v>400</v>
      </c>
      <c r="E9" s="3">
        <v>1.453</v>
      </c>
      <c r="F9" s="3">
        <v>47075.0</v>
      </c>
      <c r="G9" s="3">
        <v>23.67</v>
      </c>
      <c r="H9" s="3">
        <v>34.4</v>
      </c>
      <c r="J9" s="14">
        <f t="shared" si="1"/>
        <v>1.33676</v>
      </c>
      <c r="K9" s="14">
        <f t="shared" si="2"/>
        <v>5.060188059</v>
      </c>
      <c r="L9" s="14">
        <f t="shared" si="3"/>
        <v>6.25295124</v>
      </c>
      <c r="M9" s="14">
        <f t="shared" si="4"/>
        <v>31.648</v>
      </c>
    </row>
    <row r="10">
      <c r="A10" s="9">
        <v>41789.0</v>
      </c>
      <c r="B10" s="3" t="s">
        <v>358</v>
      </c>
      <c r="C10" s="3" t="s">
        <v>359</v>
      </c>
      <c r="D10" s="3" t="s">
        <v>395</v>
      </c>
      <c r="E10" s="3">
        <v>1.529</v>
      </c>
      <c r="F10" s="3">
        <v>47306.0</v>
      </c>
      <c r="G10" s="3">
        <v>19.36</v>
      </c>
      <c r="H10" s="3">
        <v>29.6</v>
      </c>
      <c r="J10" s="14">
        <f t="shared" si="1"/>
        <v>1.40668</v>
      </c>
      <c r="K10" s="14">
        <f t="shared" si="2"/>
        <v>5.324864104</v>
      </c>
      <c r="L10" s="14">
        <f t="shared" si="3"/>
        <v>5.11436992</v>
      </c>
      <c r="M10" s="14">
        <f t="shared" si="4"/>
        <v>27.232</v>
      </c>
    </row>
    <row r="11">
      <c r="A11" s="9">
        <v>41791.0</v>
      </c>
      <c r="B11" s="3" t="s">
        <v>360</v>
      </c>
      <c r="C11" s="3" t="s">
        <v>359</v>
      </c>
      <c r="D11" s="3" t="s">
        <v>397</v>
      </c>
      <c r="E11" s="3">
        <v>1.549</v>
      </c>
      <c r="F11" s="3">
        <v>47553.0</v>
      </c>
      <c r="G11" s="3">
        <v>25.454</v>
      </c>
      <c r="H11" s="3">
        <v>39.43</v>
      </c>
      <c r="J11" s="14">
        <f t="shared" si="1"/>
        <v>1.42508</v>
      </c>
      <c r="K11" s="14">
        <f t="shared" si="2"/>
        <v>5.394515694</v>
      </c>
      <c r="L11" s="14">
        <f t="shared" si="3"/>
        <v>6.724234088</v>
      </c>
      <c r="M11" s="14">
        <f t="shared" si="4"/>
        <v>36.2756</v>
      </c>
    </row>
    <row r="12">
      <c r="A12" s="9">
        <v>41791.0</v>
      </c>
      <c r="B12" s="3" t="s">
        <v>361</v>
      </c>
      <c r="C12" s="3" t="s">
        <v>362</v>
      </c>
      <c r="D12" s="3" t="s">
        <v>21</v>
      </c>
      <c r="E12" s="3">
        <v>1.489</v>
      </c>
      <c r="F12" s="3">
        <v>47855.0</v>
      </c>
      <c r="G12" s="3">
        <v>26.52</v>
      </c>
      <c r="H12" s="3">
        <v>39.49</v>
      </c>
      <c r="J12" s="14">
        <f t="shared" si="1"/>
        <v>1.36988</v>
      </c>
      <c r="K12" s="14">
        <f t="shared" si="2"/>
        <v>5.185560922</v>
      </c>
      <c r="L12" s="14">
        <f t="shared" si="3"/>
        <v>7.00584144</v>
      </c>
      <c r="M12" s="14">
        <f t="shared" si="4"/>
        <v>36.3308</v>
      </c>
    </row>
    <row r="13">
      <c r="A13" s="9">
        <v>41792.0</v>
      </c>
      <c r="B13" s="3" t="s">
        <v>363</v>
      </c>
      <c r="C13" s="3" t="s">
        <v>362</v>
      </c>
      <c r="D13" s="3" t="s">
        <v>401</v>
      </c>
      <c r="E13" s="3">
        <v>1.559</v>
      </c>
      <c r="F13" s="3">
        <v>48114.0</v>
      </c>
      <c r="G13" s="3">
        <v>22.534</v>
      </c>
      <c r="H13" s="3">
        <v>35.13</v>
      </c>
      <c r="J13" s="14">
        <f t="shared" si="1"/>
        <v>1.43428</v>
      </c>
      <c r="K13" s="14">
        <f t="shared" si="2"/>
        <v>5.42934149</v>
      </c>
      <c r="L13" s="14">
        <f t="shared" si="3"/>
        <v>5.952851848</v>
      </c>
      <c r="M13" s="14">
        <f t="shared" si="4"/>
        <v>32.3196</v>
      </c>
    </row>
    <row r="14">
      <c r="A14" s="9">
        <v>41793.0</v>
      </c>
      <c r="B14" s="3" t="s">
        <v>364</v>
      </c>
      <c r="C14" s="3" t="s">
        <v>362</v>
      </c>
      <c r="D14" s="3" t="s">
        <v>395</v>
      </c>
      <c r="E14" s="3">
        <v>1.629</v>
      </c>
      <c r="F14" s="3">
        <v>48266.0</v>
      </c>
      <c r="G14" s="3">
        <v>13.286</v>
      </c>
      <c r="H14" s="3">
        <v>21.64</v>
      </c>
      <c r="J14" s="14">
        <f t="shared" si="1"/>
        <v>1.49868</v>
      </c>
      <c r="K14" s="14">
        <f t="shared" si="2"/>
        <v>5.673122057</v>
      </c>
      <c r="L14" s="14">
        <f t="shared" si="3"/>
        <v>3.509789192</v>
      </c>
      <c r="M14" s="14">
        <f t="shared" si="4"/>
        <v>19.9088</v>
      </c>
    </row>
    <row r="15">
      <c r="A15" s="9">
        <v>41793.0</v>
      </c>
      <c r="B15" s="3" t="s">
        <v>365</v>
      </c>
      <c r="C15" s="3" t="s">
        <v>362</v>
      </c>
      <c r="D15" s="3" t="s">
        <v>28</v>
      </c>
      <c r="E15" s="3">
        <v>1.549</v>
      </c>
      <c r="F15" s="3">
        <v>48526.0</v>
      </c>
      <c r="G15" s="3">
        <v>22.813</v>
      </c>
      <c r="H15" s="3">
        <v>35.34</v>
      </c>
      <c r="J15" s="14">
        <f t="shared" si="1"/>
        <v>1.42508</v>
      </c>
      <c r="K15" s="14">
        <f t="shared" si="2"/>
        <v>5.394515694</v>
      </c>
      <c r="L15" s="14">
        <f t="shared" si="3"/>
        <v>6.026555836</v>
      </c>
      <c r="M15" s="14">
        <f t="shared" si="4"/>
        <v>32.5128</v>
      </c>
    </row>
    <row r="16">
      <c r="A16" s="9">
        <v>41794.0</v>
      </c>
      <c r="B16" s="3" t="s">
        <v>366</v>
      </c>
      <c r="C16" s="3" t="s">
        <v>362</v>
      </c>
      <c r="D16" s="3" t="s">
        <v>395</v>
      </c>
      <c r="E16" s="3">
        <v>1.529</v>
      </c>
      <c r="F16" s="3">
        <v>48778.0</v>
      </c>
      <c r="G16" s="3">
        <v>24.24</v>
      </c>
      <c r="H16" s="3">
        <v>37.06</v>
      </c>
      <c r="J16" s="14">
        <f t="shared" si="1"/>
        <v>1.40668</v>
      </c>
      <c r="K16" s="14">
        <f t="shared" si="2"/>
        <v>5.324864104</v>
      </c>
      <c r="L16" s="14">
        <f t="shared" si="3"/>
        <v>6.40352928</v>
      </c>
      <c r="M16" s="14">
        <f t="shared" si="4"/>
        <v>34.0952</v>
      </c>
    </row>
    <row r="17">
      <c r="A17" s="9">
        <v>41795.0</v>
      </c>
      <c r="B17" s="3" t="s">
        <v>367</v>
      </c>
      <c r="C17" s="3" t="s">
        <v>368</v>
      </c>
      <c r="D17" s="3" t="s">
        <v>21</v>
      </c>
      <c r="E17" s="3">
        <v>1.469</v>
      </c>
      <c r="F17" s="3">
        <v>49122.0</v>
      </c>
      <c r="G17" s="3">
        <v>26.727</v>
      </c>
      <c r="H17" s="3">
        <v>39.26</v>
      </c>
      <c r="J17" s="14">
        <f t="shared" si="1"/>
        <v>1.35148</v>
      </c>
      <c r="K17" s="14">
        <f t="shared" si="2"/>
        <v>5.115909332</v>
      </c>
      <c r="L17" s="14">
        <f t="shared" si="3"/>
        <v>7.060525044</v>
      </c>
      <c r="M17" s="14">
        <f t="shared" si="4"/>
        <v>36.1192</v>
      </c>
    </row>
    <row r="18">
      <c r="A18" s="9">
        <v>41796.0</v>
      </c>
      <c r="B18" s="3" t="s">
        <v>369</v>
      </c>
      <c r="C18" s="3" t="s">
        <v>370</v>
      </c>
      <c r="D18" s="3" t="s">
        <v>21</v>
      </c>
      <c r="E18" s="3">
        <v>1.489</v>
      </c>
      <c r="F18" s="3">
        <v>49344.0</v>
      </c>
      <c r="G18" s="3">
        <v>22.092</v>
      </c>
      <c r="H18" s="3">
        <v>32.89</v>
      </c>
      <c r="J18" s="14">
        <f t="shared" si="1"/>
        <v>1.36988</v>
      </c>
      <c r="K18" s="14">
        <f t="shared" si="2"/>
        <v>5.185560922</v>
      </c>
      <c r="L18" s="14">
        <f t="shared" si="3"/>
        <v>5.836087824</v>
      </c>
      <c r="M18" s="14">
        <f t="shared" si="4"/>
        <v>30.2588</v>
      </c>
    </row>
    <row r="19">
      <c r="A19" s="9">
        <v>41796.0</v>
      </c>
      <c r="B19" s="3" t="s">
        <v>371</v>
      </c>
      <c r="C19" s="3" t="s">
        <v>370</v>
      </c>
      <c r="D19" s="3" t="s">
        <v>397</v>
      </c>
      <c r="E19" s="3">
        <v>1.479</v>
      </c>
      <c r="F19" s="3">
        <v>49574.0</v>
      </c>
      <c r="G19" s="3">
        <v>25.112</v>
      </c>
      <c r="H19" s="3">
        <v>37.14</v>
      </c>
      <c r="J19" s="14">
        <f t="shared" si="1"/>
        <v>1.36068</v>
      </c>
      <c r="K19" s="14">
        <f t="shared" si="2"/>
        <v>5.150735127</v>
      </c>
      <c r="L19" s="14">
        <f t="shared" si="3"/>
        <v>6.633887264</v>
      </c>
      <c r="M19" s="14">
        <f t="shared" si="4"/>
        <v>34.1688</v>
      </c>
    </row>
    <row r="20">
      <c r="A20" s="9">
        <v>41797.0</v>
      </c>
      <c r="B20" s="3" t="s">
        <v>372</v>
      </c>
      <c r="C20" s="3" t="s">
        <v>373</v>
      </c>
      <c r="D20" s="3" t="s">
        <v>21</v>
      </c>
      <c r="E20" s="3">
        <v>1.449</v>
      </c>
      <c r="F20" s="3">
        <v>49822.0</v>
      </c>
      <c r="G20" s="3">
        <v>22.78</v>
      </c>
      <c r="H20" s="3">
        <v>33.0</v>
      </c>
      <c r="J20" s="14">
        <f t="shared" si="1"/>
        <v>1.33308</v>
      </c>
      <c r="K20" s="14">
        <f t="shared" si="2"/>
        <v>5.046257741</v>
      </c>
      <c r="L20" s="14">
        <f t="shared" si="3"/>
        <v>6.01783816</v>
      </c>
      <c r="M20" s="14">
        <f t="shared" si="4"/>
        <v>30.36</v>
      </c>
    </row>
    <row r="24">
      <c r="E24" s="3" t="s">
        <v>402</v>
      </c>
      <c r="F24" s="3">
        <v>0.92</v>
      </c>
    </row>
    <row r="25">
      <c r="E25" s="3" t="s">
        <v>403</v>
      </c>
      <c r="F25" s="3">
        <v>0.264172</v>
      </c>
    </row>
  </sheetData>
  <drawing r:id="rId1"/>
</worksheet>
</file>