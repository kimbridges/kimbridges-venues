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_Log" sheetId="1" r:id="rId5"/>
    <sheet state="visible" name="Extract" sheetId="2" r:id="rId6"/>
    <sheet state="visible" name="Trip_Log" sheetId="3" r:id="rId7"/>
    <sheet state="visible" name="Pickup" sheetId="4" r:id="rId8"/>
    <sheet state="visible" name="Creamsicle Trip Log" sheetId="5" r:id="rId9"/>
    <sheet state="visible" name="Creamsicle Fuel Log" sheetId="6" r:id="rId10"/>
  </sheets>
  <definedNames/>
  <calcPr/>
</workbook>
</file>

<file path=xl/sharedStrings.xml><?xml version="1.0" encoding="utf-8"?>
<sst xmlns="http://schemas.openxmlformats.org/spreadsheetml/2006/main" count="1180" uniqueCount="319">
  <si>
    <t>Date</t>
  </si>
  <si>
    <t>Time</t>
  </si>
  <si>
    <t>City</t>
  </si>
  <si>
    <t>State</t>
  </si>
  <si>
    <t>Mileage</t>
  </si>
  <si>
    <t>Brand</t>
  </si>
  <si>
    <t>LV</t>
  </si>
  <si>
    <t>Gallons</t>
  </si>
  <si>
    <t>AR</t>
  </si>
  <si>
    <t>Dollars/gallon</t>
  </si>
  <si>
    <t>Miles</t>
  </si>
  <si>
    <t>Cost</t>
  </si>
  <si>
    <t>Distance</t>
  </si>
  <si>
    <t>MPG</t>
  </si>
  <si>
    <t>Duration</t>
  </si>
  <si>
    <t>Stop</t>
  </si>
  <si>
    <t>% of 7.4G</t>
  </si>
  <si>
    <t>Gal in Tank</t>
  </si>
  <si>
    <t>Adj_Duration</t>
  </si>
  <si>
    <t>Miles Left</t>
  </si>
  <si>
    <t>Dec_Duration</t>
  </si>
  <si>
    <t>Miles/Hour</t>
  </si>
  <si>
    <t>Comment</t>
  </si>
  <si>
    <t>Nixa</t>
  </si>
  <si>
    <t>MO</t>
  </si>
  <si>
    <t>Garden City</t>
  </si>
  <si>
    <t>Plattsburg</t>
  </si>
  <si>
    <t>Liters</t>
  </si>
  <si>
    <t>Lincoln</t>
  </si>
  <si>
    <t>CAD/L</t>
  </si>
  <si>
    <t>NE</t>
  </si>
  <si>
    <t>CAD</t>
  </si>
  <si>
    <t>Gothensburg</t>
  </si>
  <si>
    <t>Atwood</t>
  </si>
  <si>
    <t>CO</t>
  </si>
  <si>
    <t>Arvada</t>
  </si>
  <si>
    <t>Grand Junction</t>
  </si>
  <si>
    <t>Kansas City</t>
  </si>
  <si>
    <t>Salina</t>
  </si>
  <si>
    <t>UT</t>
  </si>
  <si>
    <t>St George</t>
  </si>
  <si>
    <t>Jean</t>
  </si>
  <si>
    <t>NV</t>
  </si>
  <si>
    <t>Victorville</t>
  </si>
  <si>
    <t>CA</t>
  </si>
  <si>
    <t>Modern Motorcars</t>
  </si>
  <si>
    <t>Torrance</t>
  </si>
  <si>
    <t>Barstow</t>
  </si>
  <si>
    <t>Searchlight</t>
  </si>
  <si>
    <t>(@ 40 MPG)</t>
  </si>
  <si>
    <t>Ash Fork</t>
  </si>
  <si>
    <t>AZ</t>
  </si>
  <si>
    <t>Sanders</t>
  </si>
  <si>
    <t>Albuquerque</t>
  </si>
  <si>
    <t>NM</t>
  </si>
  <si>
    <t>Wagon Mound</t>
  </si>
  <si>
    <t>Seven Stop</t>
  </si>
  <si>
    <t>Colorado Springs</t>
  </si>
  <si>
    <t>Colby</t>
  </si>
  <si>
    <t>KS</t>
  </si>
  <si>
    <t>Kearney</t>
  </si>
  <si>
    <t>Omaha</t>
  </si>
  <si>
    <t>Des Moines</t>
  </si>
  <si>
    <t>IA</t>
  </si>
  <si>
    <t>Anamosa</t>
  </si>
  <si>
    <t>Madison</t>
  </si>
  <si>
    <t>WI</t>
  </si>
  <si>
    <t>Sun Prairie</t>
  </si>
  <si>
    <t>Westminster</t>
  </si>
  <si>
    <t>Mendota</t>
  </si>
  <si>
    <t>IL</t>
  </si>
  <si>
    <t>Springfield</t>
  </si>
  <si>
    <t>Shelbina</t>
  </si>
  <si>
    <t>Junction City</t>
  </si>
  <si>
    <t>Stopped at Tom's house</t>
  </si>
  <si>
    <t>Hays</t>
  </si>
  <si>
    <t>Burlington</t>
  </si>
  <si>
    <t>Larry's One Stop</t>
  </si>
  <si>
    <t>Walsenburg</t>
  </si>
  <si>
    <t>Questa</t>
  </si>
  <si>
    <t>Grants</t>
  </si>
  <si>
    <t>Flagstaff</t>
  </si>
  <si>
    <t>Williams</t>
  </si>
  <si>
    <t>Stopped at Colorado River</t>
  </si>
  <si>
    <t>Lake Havasu City</t>
  </si>
  <si>
    <t>Indio</t>
  </si>
  <si>
    <t>Alhambra</t>
  </si>
  <si>
    <t>Super C #2</t>
  </si>
  <si>
    <t>Gal</t>
  </si>
  <si>
    <t>Days</t>
  </si>
  <si>
    <t>Months</t>
  </si>
  <si>
    <t>Cenex</t>
  </si>
  <si>
    <t>mean</t>
  </si>
  <si>
    <t>Departure</t>
  </si>
  <si>
    <t>Arrival</t>
  </si>
  <si>
    <t>Time Driving</t>
  </si>
  <si>
    <t>MPH</t>
  </si>
  <si>
    <t>Bakersfield</t>
  </si>
  <si>
    <t>LMR Oil #3</t>
  </si>
  <si>
    <t>Firebaugh</t>
  </si>
  <si>
    <t>Mt Shasta</t>
  </si>
  <si>
    <t>Roseburg</t>
  </si>
  <si>
    <t>OR</t>
  </si>
  <si>
    <t>Veneta</t>
  </si>
  <si>
    <t>Bandon</t>
  </si>
  <si>
    <t>Klamath</t>
  </si>
  <si>
    <t>Leggett</t>
  </si>
  <si>
    <t>Bodega Bay</t>
  </si>
  <si>
    <t>Santa Cruz</t>
  </si>
  <si>
    <t>Conoco</t>
  </si>
  <si>
    <t>San Luis Obispo</t>
  </si>
  <si>
    <t>earliest</t>
  </si>
  <si>
    <t>Shell</t>
  </si>
  <si>
    <t>min</t>
  </si>
  <si>
    <t>TA</t>
  </si>
  <si>
    <t>latest</t>
  </si>
  <si>
    <t>Costco</t>
  </si>
  <si>
    <t>max</t>
  </si>
  <si>
    <t>Terrible Herbst</t>
  </si>
  <si>
    <t>Kingman</t>
  </si>
  <si>
    <t>ARCO</t>
  </si>
  <si>
    <t>Pilot</t>
  </si>
  <si>
    <t>Needs adj for time zone changes</t>
  </si>
  <si>
    <t>Speedway</t>
  </si>
  <si>
    <t>LJM Travel Center</t>
  </si>
  <si>
    <t>Kum &amp; Go</t>
  </si>
  <si>
    <t>Loves</t>
  </si>
  <si>
    <t>Speedee Mart</t>
  </si>
  <si>
    <t>Buckys</t>
  </si>
  <si>
    <t>Post Office</t>
  </si>
  <si>
    <t>Liberty</t>
  </si>
  <si>
    <t>Tom</t>
  </si>
  <si>
    <t>Casey's General Store</t>
  </si>
  <si>
    <t>Santa Fe</t>
  </si>
  <si>
    <t>Northport Chevron</t>
  </si>
  <si>
    <t>Gallup</t>
  </si>
  <si>
    <t>Grand Canyon</t>
  </si>
  <si>
    <t>Shopping</t>
  </si>
  <si>
    <t>Elk Grove</t>
  </si>
  <si>
    <t>Ashland</t>
  </si>
  <si>
    <t>Eugene</t>
  </si>
  <si>
    <t>Founders Grove</t>
  </si>
  <si>
    <t>Morro Bay</t>
  </si>
  <si>
    <t>Total</t>
  </si>
  <si>
    <t>Becks</t>
  </si>
  <si>
    <t>Ayerco</t>
  </si>
  <si>
    <t>Napa</t>
  </si>
  <si>
    <t>Phillips 66</t>
  </si>
  <si>
    <t>Trinidad</t>
  </si>
  <si>
    <t>Sinclair</t>
  </si>
  <si>
    <t>Aberdeen</t>
  </si>
  <si>
    <t>WA</t>
  </si>
  <si>
    <t>Accident delay, hail, rain</t>
  </si>
  <si>
    <t>Port Angeles</t>
  </si>
  <si>
    <t>TA Express</t>
  </si>
  <si>
    <t>Seattle</t>
  </si>
  <si>
    <t>Mt. Vernon</t>
  </si>
  <si>
    <t>Good2Go</t>
  </si>
  <si>
    <t>Redding</t>
  </si>
  <si>
    <t xml:space="preserve">lunch </t>
  </si>
  <si>
    <t>Paso Robles</t>
  </si>
  <si>
    <t>coffee</t>
  </si>
  <si>
    <t>photos</t>
  </si>
  <si>
    <t>Circle K</t>
  </si>
  <si>
    <t>Mobil</t>
  </si>
  <si>
    <t>$/Gal</t>
  </si>
  <si>
    <t>$</t>
  </si>
  <si>
    <t>Miles/Gal</t>
  </si>
  <si>
    <t>Springdale</t>
  </si>
  <si>
    <t>To Mountain Time</t>
  </si>
  <si>
    <t>Escalante</t>
  </si>
  <si>
    <t>total</t>
  </si>
  <si>
    <t>Hike to slot canyon</t>
  </si>
  <si>
    <t>Moab</t>
  </si>
  <si>
    <t>St. George</t>
  </si>
  <si>
    <t>Lone Pine</t>
  </si>
  <si>
    <t>Back to Pacific Time</t>
  </si>
  <si>
    <t>Las Vegas</t>
  </si>
  <si>
    <t>average</t>
  </si>
  <si>
    <t>Carlsbad</t>
  </si>
  <si>
    <t>Cindy</t>
  </si>
  <si>
    <t>Milpitas</t>
  </si>
  <si>
    <t>Meet Lan</t>
  </si>
  <si>
    <t>Milipitas</t>
  </si>
  <si>
    <t>Orick</t>
  </si>
  <si>
    <t>Lunch @ Trinidad</t>
  </si>
  <si>
    <t>Brunch</t>
  </si>
  <si>
    <t>Butchart Gardens</t>
  </si>
  <si>
    <t>BC</t>
  </si>
  <si>
    <t>Tofino</t>
  </si>
  <si>
    <t>Lunch</t>
  </si>
  <si>
    <t>Campbell River</t>
  </si>
  <si>
    <t>Port Alberni</t>
  </si>
  <si>
    <t>Vancouver</t>
  </si>
  <si>
    <t>Ferry, park, shop</t>
  </si>
  <si>
    <t>Bainbridge</t>
  </si>
  <si>
    <t>Chevron</t>
  </si>
  <si>
    <t>Ferry, Costco</t>
  </si>
  <si>
    <t>Costco, Starbucks</t>
  </si>
  <si>
    <t>Starbucks</t>
  </si>
  <si>
    <t>Valero</t>
  </si>
  <si>
    <t>Misc</t>
  </si>
  <si>
    <t>Towne Pump</t>
  </si>
  <si>
    <t>Monterey Bay Aquarium, Pelican Photos</t>
  </si>
  <si>
    <t>Birds, otters</t>
  </si>
  <si>
    <t>Pem-Mey</t>
  </si>
  <si>
    <t>Patriot</t>
  </si>
  <si>
    <t>Regular</t>
  </si>
  <si>
    <t>Groveland</t>
  </si>
  <si>
    <t>Union 76</t>
  </si>
  <si>
    <t>Mammoth Lakes</t>
  </si>
  <si>
    <t>Fallon</t>
  </si>
  <si>
    <t>Winnemucca</t>
  </si>
  <si>
    <t>Twin Falls</t>
  </si>
  <si>
    <t>ID</t>
  </si>
  <si>
    <t>West Yellowstone</t>
  </si>
  <si>
    <t>MT</t>
  </si>
  <si>
    <t>Jackson</t>
  </si>
  <si>
    <t>WY</t>
  </si>
  <si>
    <t>Spanish Fork</t>
  </si>
  <si>
    <t>Yuma</t>
  </si>
  <si>
    <t>Madness + Cindy</t>
  </si>
  <si>
    <t>Tucson</t>
  </si>
  <si>
    <t>Desert Musum</t>
  </si>
  <si>
    <t>Goleta</t>
  </si>
  <si>
    <t>Las Cruces</t>
  </si>
  <si>
    <t>TimeZone +1</t>
  </si>
  <si>
    <t>King City</t>
  </si>
  <si>
    <t>White Sands</t>
  </si>
  <si>
    <t>Santa Rosa</t>
  </si>
  <si>
    <t>C. Caverns NP</t>
  </si>
  <si>
    <t>Elk City</t>
  </si>
  <si>
    <t>OK</t>
  </si>
  <si>
    <t>Miranda</t>
  </si>
  <si>
    <t>Catoosa</t>
  </si>
  <si>
    <t>Market Miranda</t>
  </si>
  <si>
    <t>Grants Pass</t>
  </si>
  <si>
    <t>W. Des Moines</t>
  </si>
  <si>
    <t>WI Dells</t>
  </si>
  <si>
    <t>Florence</t>
  </si>
  <si>
    <t>Astoria</t>
  </si>
  <si>
    <t>Cranes</t>
  </si>
  <si>
    <t>Quinault</t>
  </si>
  <si>
    <t>Start Mileage</t>
  </si>
  <si>
    <t>Final Mileage</t>
  </si>
  <si>
    <t>TOTAL</t>
  </si>
  <si>
    <t>MILES</t>
  </si>
  <si>
    <t>DURATION</t>
  </si>
  <si>
    <t>Sequim</t>
  </si>
  <si>
    <t>DAYS</t>
  </si>
  <si>
    <t>Concrete</t>
  </si>
  <si>
    <t>YEARS</t>
  </si>
  <si>
    <t>Anacrtes</t>
  </si>
  <si>
    <t>MILES/YEAR</t>
  </si>
  <si>
    <t>Safeway</t>
  </si>
  <si>
    <t>Everett</t>
  </si>
  <si>
    <t>West Linn</t>
  </si>
  <si>
    <t>LV time</t>
  </si>
  <si>
    <t>ODO-LV</t>
  </si>
  <si>
    <t>AR time</t>
  </si>
  <si>
    <t>ODO-AR</t>
  </si>
  <si>
    <t>Pause time</t>
  </si>
  <si>
    <t>Danville</t>
  </si>
  <si>
    <t>Oxnard</t>
  </si>
  <si>
    <t>San Bernardino</t>
  </si>
  <si>
    <t>Green River</t>
  </si>
  <si>
    <t>Parowan</t>
  </si>
  <si>
    <t>Ely</t>
  </si>
  <si>
    <t>Beatty</t>
  </si>
  <si>
    <t>Arco</t>
  </si>
  <si>
    <t>Death Valley</t>
  </si>
  <si>
    <t>Furnace Creek Fuel</t>
  </si>
  <si>
    <t>Amagosa</t>
  </si>
  <si>
    <t>Arcadia</t>
  </si>
  <si>
    <t>Frazier Park</t>
  </si>
  <si>
    <t>Flying J</t>
  </si>
  <si>
    <t>Santa Nella</t>
  </si>
  <si>
    <t>Ukiah</t>
  </si>
  <si>
    <t>Coos Bay</t>
  </si>
  <si>
    <t>Mobile</t>
  </si>
  <si>
    <t>Creswell</t>
  </si>
  <si>
    <t>Tumwater</t>
  </si>
  <si>
    <t>Co-Op</t>
  </si>
  <si>
    <t>Nanoose Bay</t>
  </si>
  <si>
    <t>Bainbridge Is</t>
  </si>
  <si>
    <t>Brookings</t>
  </si>
  <si>
    <t>Eureka</t>
  </si>
  <si>
    <t>Sand City</t>
  </si>
  <si>
    <t>Odometer</t>
  </si>
  <si>
    <t>Total Cost</t>
  </si>
  <si>
    <t>Coarsegold</t>
  </si>
  <si>
    <t>Kwik Serv</t>
  </si>
  <si>
    <t>Big Oak Flat</t>
  </si>
  <si>
    <t>Claim Jumper Outpost</t>
  </si>
  <si>
    <t>Lee Vining</t>
  </si>
  <si>
    <t>Maverik</t>
  </si>
  <si>
    <t>Wells</t>
  </si>
  <si>
    <t>American Falls</t>
  </si>
  <si>
    <t>Cokeville</t>
  </si>
  <si>
    <t>Spanish Forks</t>
  </si>
  <si>
    <t>Cedar City</t>
  </si>
  <si>
    <t>Signal Hill</t>
  </si>
  <si>
    <t>LaQuinta</t>
  </si>
  <si>
    <t>Elroy</t>
  </si>
  <si>
    <t>Lordsburg</t>
  </si>
  <si>
    <t>Alamogaordo</t>
  </si>
  <si>
    <t>Whites City</t>
  </si>
  <si>
    <t>Marathon</t>
  </si>
  <si>
    <t>Roswell</t>
  </si>
  <si>
    <t>Amarillo</t>
  </si>
  <si>
    <t>TX</t>
  </si>
  <si>
    <t>Clinton</t>
  </si>
  <si>
    <t>Chandler</t>
  </si>
  <si>
    <t>Nowata</t>
  </si>
  <si>
    <t>Osawatomie</t>
  </si>
  <si>
    <t>Caseys</t>
  </si>
  <si>
    <t>Osceola</t>
  </si>
  <si>
    <t>North Liberty</t>
  </si>
  <si>
    <t>DeKorra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</si>
</sst>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"/>
    <numFmt numFmtId="166" formatCode="mm/dd/yyyy"/>
    <numFmt numFmtId="167" formatCode="m/d/yyyy"/>
    <numFmt numFmtId="168" formatCode="m/d/yy"/>
  </numFmts>
  <fonts count="9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Arial"/>
      <scheme val="minor"/>
    </font>
    <font>
      <color rgb="FF232629"/>
      <name val="Arial"/>
    </font>
    <font>
      <sz val="18.0"/>
      <color rgb="FF232629"/>
      <name val="Arial"/>
    </font>
    <font>
      <color rgb="FF232629"/>
      <name val="-apple-system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0" fillId="0" fontId="1" numFmtId="0" xfId="0" applyFont="1"/>
    <xf borderId="1" fillId="0" fontId="1" numFmtId="166" xfId="0" applyAlignment="1" applyBorder="1" applyFont="1" applyNumberFormat="1">
      <alignment readingOrder="0"/>
    </xf>
    <xf borderId="0" fillId="0" fontId="1" numFmtId="2" xfId="0" applyAlignment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3" numFmtId="20" xfId="0" applyAlignment="1" applyBorder="1" applyFont="1" applyNumberFormat="1">
      <alignment readingOrder="0"/>
    </xf>
    <xf borderId="1" fillId="0" fontId="2" numFmtId="20" xfId="0" applyAlignment="1" applyBorder="1" applyFont="1" applyNumberFormat="1">
      <alignment readingOrder="0"/>
    </xf>
    <xf borderId="1" fillId="0" fontId="1" numFmtId="20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readingOrder="0"/>
    </xf>
    <xf borderId="1" fillId="0" fontId="1" numFmtId="0" xfId="0" applyBorder="1" applyFont="1"/>
    <xf borderId="0" fillId="2" fontId="4" numFmtId="0" xfId="0" applyAlignment="1" applyFill="1" applyFont="1">
      <alignment readingOrder="0"/>
    </xf>
    <xf borderId="1" fillId="0" fontId="1" numFmtId="165" xfId="0" applyBorder="1" applyFont="1" applyNumberFormat="1"/>
    <xf borderId="1" fillId="0" fontId="3" numFmtId="20" xfId="0" applyBorder="1" applyFont="1" applyNumberFormat="1"/>
    <xf borderId="1" fillId="2" fontId="5" numFmtId="20" xfId="0" applyAlignment="1" applyBorder="1" applyFont="1" applyNumberFormat="1">
      <alignment horizontal="right" readingOrder="0"/>
    </xf>
    <xf borderId="1" fillId="0" fontId="2" numFmtId="20" xfId="0" applyBorder="1" applyFont="1" applyNumberFormat="1"/>
    <xf borderId="1" fillId="2" fontId="6" numFmtId="20" xfId="0" applyAlignment="1" applyBorder="1" applyFont="1" applyNumberFormat="1">
      <alignment horizontal="right" readingOrder="0"/>
    </xf>
    <xf borderId="1" fillId="2" fontId="7" numFmtId="46" xfId="0" applyAlignment="1" applyBorder="1" applyFont="1" applyNumberFormat="1">
      <alignment horizontal="right"/>
    </xf>
    <xf borderId="1" fillId="0" fontId="1" numFmtId="1" xfId="0" applyBorder="1" applyFont="1" applyNumberFormat="1"/>
    <xf borderId="1" fillId="2" fontId="7" numFmtId="2" xfId="0" applyAlignment="1" applyBorder="1" applyFont="1" applyNumberFormat="1">
      <alignment horizontal="right"/>
    </xf>
    <xf borderId="1" fillId="0" fontId="2" numFmtId="0" xfId="0" applyBorder="1" applyFont="1"/>
    <xf borderId="0" fillId="0" fontId="1" numFmtId="9" xfId="0" applyFont="1" applyNumberFormat="1"/>
    <xf borderId="1" fillId="0" fontId="3" numFmtId="165" xfId="0" applyBorder="1" applyFont="1" applyNumberFormat="1"/>
    <xf borderId="1" fillId="0" fontId="3" numFmtId="0" xfId="0" applyBorder="1" applyFont="1"/>
    <xf borderId="0" fillId="0" fontId="1" numFmtId="167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Alignment="1" applyFont="1" applyNumberFormat="1">
      <alignment readingOrder="0"/>
    </xf>
    <xf borderId="0" fillId="0" fontId="1" numFmtId="1" xfId="0" applyFont="1" applyNumberFormat="1"/>
    <xf borderId="0" fillId="0" fontId="1" numFmtId="166" xfId="0" applyAlignment="1" applyFont="1" applyNumberFormat="1">
      <alignment readingOrder="0"/>
    </xf>
    <xf borderId="0" fillId="0" fontId="3" numFmtId="0" xfId="0" applyFont="1"/>
    <xf borderId="0" fillId="0" fontId="1" numFmtId="164" xfId="0" applyFont="1" applyNumberFormat="1"/>
    <xf borderId="1" fillId="0" fontId="3" numFmtId="0" xfId="0" applyAlignment="1" applyBorder="1" applyFont="1">
      <alignment horizontal="right"/>
    </xf>
    <xf borderId="1" fillId="0" fontId="2" numFmtId="165" xfId="0" applyBorder="1" applyFont="1" applyNumberFormat="1"/>
    <xf borderId="1" fillId="0" fontId="3" numFmtId="46" xfId="0" applyAlignment="1" applyBorder="1" applyFont="1" applyNumberFormat="1">
      <alignment horizontal="right"/>
    </xf>
    <xf borderId="1" fillId="0" fontId="3" numFmtId="167" xfId="0" applyAlignment="1" applyBorder="1" applyFont="1" applyNumberFormat="1">
      <alignment readingOrder="0"/>
    </xf>
    <xf borderId="0" fillId="3" fontId="3" numFmtId="0" xfId="0" applyAlignment="1" applyFill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46" xfId="0" applyAlignment="1" applyBorder="1" applyFont="1" applyNumberFormat="1">
      <alignment readingOrder="0"/>
    </xf>
    <xf borderId="1" fillId="0" fontId="3" numFmtId="20" xfId="0" applyAlignment="1" applyBorder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3" numFmtId="167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20" xfId="0" applyFont="1" applyNumberFormat="1"/>
    <xf borderId="0" fillId="2" fontId="7" numFmtId="46" xfId="0" applyAlignment="1" applyFont="1" applyNumberFormat="1">
      <alignment horizontal="right"/>
    </xf>
    <xf borderId="0" fillId="2" fontId="7" numFmtId="2" xfId="0" applyAlignment="1" applyFont="1" applyNumberFormat="1">
      <alignment horizontal="right"/>
    </xf>
    <xf borderId="0" fillId="0" fontId="3" numFmtId="165" xfId="0" applyFont="1" applyNumberFormat="1"/>
    <xf borderId="0" fillId="0" fontId="3" numFmtId="20" xfId="0" applyAlignment="1" applyFont="1" applyNumberFormat="1">
      <alignment horizontal="right" readingOrder="0"/>
    </xf>
    <xf borderId="0" fillId="0" fontId="1" numFmtId="20" xfId="0" applyAlignment="1" applyFont="1" applyNumberFormat="1">
      <alignment readingOrder="0"/>
    </xf>
    <xf borderId="0" fillId="0" fontId="3" numFmtId="20" xfId="0" applyAlignment="1" applyFont="1" applyNumberFormat="1">
      <alignment horizontal="right"/>
    </xf>
    <xf borderId="0" fillId="0" fontId="1" numFmtId="2" xfId="0" applyFont="1" applyNumberFormat="1"/>
    <xf borderId="0" fillId="0" fontId="3" numFmtId="2" xfId="0" applyAlignment="1" applyFont="1" applyNumberFormat="1">
      <alignment horizontal="right"/>
    </xf>
    <xf borderId="0" fillId="0" fontId="1" numFmtId="165" xfId="0" applyAlignment="1" applyFont="1" applyNumberFormat="1">
      <alignment readingOrder="0"/>
    </xf>
    <xf borderId="0" fillId="0" fontId="1" numFmtId="3" xfId="0" applyFont="1" applyNumberFormat="1"/>
    <xf borderId="0" fillId="0" fontId="3" numFmtId="168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3" xfId="0" applyFont="1" applyNumberFormat="1"/>
    <xf borderId="0" fillId="0" fontId="3" numFmtId="3" xfId="0" applyFont="1" applyNumberFormat="1"/>
    <xf borderId="0" fillId="0" fontId="3" numFmtId="4" xfId="0" applyFont="1" applyNumberForma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6.88"/>
    <col customWidth="1" min="3" max="3" width="16.88"/>
    <col customWidth="1" min="4" max="4" width="6.5"/>
    <col customWidth="1" min="5" max="5" width="9.13"/>
    <col customWidth="1" min="6" max="6" width="22.5"/>
    <col customWidth="1" min="7" max="7" width="8.88"/>
    <col customWidth="1" min="8" max="8" width="15.13"/>
    <col customWidth="1" min="9" max="9" width="9.38"/>
    <col customWidth="1" min="10" max="10" width="10.13"/>
    <col customWidth="1" min="11" max="11" width="8.63"/>
    <col customWidth="1" min="14" max="1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7</v>
      </c>
      <c r="H1" s="4" t="s">
        <v>9</v>
      </c>
      <c r="I1" s="5" t="s">
        <v>11</v>
      </c>
      <c r="J1" s="1" t="s">
        <v>12</v>
      </c>
      <c r="K1" s="6" t="s">
        <v>13</v>
      </c>
      <c r="L1" s="8" t="s">
        <v>16</v>
      </c>
      <c r="M1" s="8" t="s">
        <v>17</v>
      </c>
      <c r="N1" s="12" t="s">
        <v>19</v>
      </c>
      <c r="O1" s="8" t="s">
        <v>27</v>
      </c>
      <c r="P1" s="8" t="s">
        <v>29</v>
      </c>
      <c r="Q1" s="8" t="s">
        <v>31</v>
      </c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44462.0</v>
      </c>
      <c r="B2" s="17">
        <v>0.4895833333333333</v>
      </c>
      <c r="C2" s="1" t="s">
        <v>23</v>
      </c>
      <c r="D2" s="1" t="s">
        <v>24</v>
      </c>
      <c r="E2" s="1">
        <v>30290.0</v>
      </c>
      <c r="F2" s="1" t="s">
        <v>45</v>
      </c>
      <c r="G2" s="4">
        <v>6.0</v>
      </c>
      <c r="H2" s="4"/>
      <c r="I2" s="5"/>
      <c r="J2" s="19"/>
      <c r="K2" s="21"/>
      <c r="L2" s="10"/>
      <c r="M2" s="10"/>
      <c r="N2" s="12" t="s">
        <v>49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44462.0</v>
      </c>
      <c r="B3" s="17">
        <v>0.6402777777777777</v>
      </c>
      <c r="C3" s="1" t="s">
        <v>25</v>
      </c>
      <c r="D3" s="1" t="s">
        <v>24</v>
      </c>
      <c r="E3" s="1">
        <v>30432.0</v>
      </c>
      <c r="F3" s="1" t="s">
        <v>56</v>
      </c>
      <c r="G3" s="4">
        <v>5.124</v>
      </c>
      <c r="H3" s="4">
        <v>3.339</v>
      </c>
      <c r="I3" s="5">
        <v>17.11</v>
      </c>
      <c r="J3" s="27">
        <f t="shared" ref="J3:J55" si="1">E3-E2</f>
        <v>142</v>
      </c>
      <c r="K3" s="21">
        <f t="shared" ref="K3:K55" si="2">J3/G3</f>
        <v>27.71272443</v>
      </c>
      <c r="L3" s="30">
        <f t="shared" ref="L3:L55" si="3">G3/7.4</f>
        <v>0.6924324324</v>
      </c>
      <c r="M3" s="34">
        <f t="shared" ref="M3:M55" si="4">7.4-G3</f>
        <v>2.276</v>
      </c>
      <c r="N3" s="36">
        <f t="shared" ref="N3:N55" si="5">M3*40</f>
        <v>91.04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44463.0</v>
      </c>
      <c r="B4" s="17">
        <v>0.6395833333333333</v>
      </c>
      <c r="C4" s="1" t="s">
        <v>26</v>
      </c>
      <c r="D4" s="1" t="s">
        <v>24</v>
      </c>
      <c r="E4" s="1">
        <v>30601.0</v>
      </c>
      <c r="F4" s="1" t="s">
        <v>77</v>
      </c>
      <c r="G4" s="4">
        <v>4.033</v>
      </c>
      <c r="H4" s="4">
        <v>3.189</v>
      </c>
      <c r="I4" s="5">
        <v>12.86</v>
      </c>
      <c r="J4" s="27">
        <f t="shared" si="1"/>
        <v>169</v>
      </c>
      <c r="K4" s="21">
        <f t="shared" si="2"/>
        <v>41.90428961</v>
      </c>
      <c r="L4" s="30">
        <f t="shared" si="3"/>
        <v>0.545</v>
      </c>
      <c r="M4" s="34">
        <f t="shared" si="4"/>
        <v>3.367</v>
      </c>
      <c r="N4" s="36">
        <f t="shared" si="5"/>
        <v>134.68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44464.0</v>
      </c>
      <c r="B5" s="17">
        <v>0.3055555555555556</v>
      </c>
      <c r="C5" s="1" t="s">
        <v>28</v>
      </c>
      <c r="D5" s="1" t="s">
        <v>30</v>
      </c>
      <c r="E5" s="1">
        <v>30766.0</v>
      </c>
      <c r="F5" s="1" t="s">
        <v>87</v>
      </c>
      <c r="G5" s="4">
        <v>3.799</v>
      </c>
      <c r="H5" s="4">
        <v>4.989</v>
      </c>
      <c r="I5" s="5">
        <v>18.95</v>
      </c>
      <c r="J5" s="27">
        <f t="shared" si="1"/>
        <v>165</v>
      </c>
      <c r="K5" s="21">
        <f t="shared" si="2"/>
        <v>43.43248223</v>
      </c>
      <c r="L5" s="30">
        <f t="shared" si="3"/>
        <v>0.5133783784</v>
      </c>
      <c r="M5" s="34">
        <f t="shared" si="4"/>
        <v>3.601</v>
      </c>
      <c r="N5" s="36">
        <f t="shared" si="5"/>
        <v>144.04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44464.0</v>
      </c>
      <c r="B6" s="17">
        <v>0.44375</v>
      </c>
      <c r="C6" s="1" t="s">
        <v>32</v>
      </c>
      <c r="D6" s="1" t="s">
        <v>30</v>
      </c>
      <c r="E6" s="1">
        <v>30954.0</v>
      </c>
      <c r="F6" s="1" t="s">
        <v>91</v>
      </c>
      <c r="G6" s="4">
        <v>3.799</v>
      </c>
      <c r="H6" s="4">
        <v>5.099</v>
      </c>
      <c r="I6" s="5">
        <v>19.37</v>
      </c>
      <c r="J6" s="27">
        <f t="shared" si="1"/>
        <v>188</v>
      </c>
      <c r="K6" s="21">
        <f t="shared" si="2"/>
        <v>49.48670703</v>
      </c>
      <c r="L6" s="30">
        <f t="shared" si="3"/>
        <v>0.5133783784</v>
      </c>
      <c r="M6" s="34">
        <f t="shared" si="4"/>
        <v>3.601</v>
      </c>
      <c r="N6" s="36">
        <f t="shared" si="5"/>
        <v>144.04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44464.0</v>
      </c>
      <c r="B7" s="17">
        <v>0.5479166666666667</v>
      </c>
      <c r="C7" s="1" t="s">
        <v>33</v>
      </c>
      <c r="D7" s="1" t="s">
        <v>34</v>
      </c>
      <c r="E7" s="1">
        <v>31132.0</v>
      </c>
      <c r="F7" s="1" t="s">
        <v>98</v>
      </c>
      <c r="G7" s="4">
        <v>6.27</v>
      </c>
      <c r="H7" s="4">
        <v>3.949</v>
      </c>
      <c r="I7" s="5">
        <v>24.76</v>
      </c>
      <c r="J7" s="27">
        <f t="shared" si="1"/>
        <v>178</v>
      </c>
      <c r="K7" s="21">
        <f t="shared" si="2"/>
        <v>28.3891547</v>
      </c>
      <c r="L7" s="30">
        <f t="shared" si="3"/>
        <v>0.8472972973</v>
      </c>
      <c r="M7" s="34">
        <f t="shared" si="4"/>
        <v>1.13</v>
      </c>
      <c r="N7" s="36">
        <f t="shared" si="5"/>
        <v>45.2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44465.0</v>
      </c>
      <c r="B8" s="17">
        <v>0.3659722222222222</v>
      </c>
      <c r="C8" s="1" t="s">
        <v>35</v>
      </c>
      <c r="D8" s="1" t="s">
        <v>34</v>
      </c>
      <c r="E8" s="1">
        <v>31255.0</v>
      </c>
      <c r="F8" s="1" t="s">
        <v>109</v>
      </c>
      <c r="G8" s="4">
        <v>2.737</v>
      </c>
      <c r="H8" s="4">
        <v>4.059</v>
      </c>
      <c r="I8" s="5">
        <v>11.11</v>
      </c>
      <c r="J8" s="27">
        <f t="shared" si="1"/>
        <v>123</v>
      </c>
      <c r="K8" s="21">
        <f t="shared" si="2"/>
        <v>44.93971502</v>
      </c>
      <c r="L8" s="30">
        <f t="shared" si="3"/>
        <v>0.3698648649</v>
      </c>
      <c r="M8" s="34">
        <f t="shared" si="4"/>
        <v>4.663</v>
      </c>
      <c r="N8" s="36">
        <f t="shared" si="5"/>
        <v>186.52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44465.0</v>
      </c>
      <c r="B9" s="17">
        <v>0.6854166666666667</v>
      </c>
      <c r="C9" s="1" t="s">
        <v>36</v>
      </c>
      <c r="D9" s="1" t="s">
        <v>34</v>
      </c>
      <c r="E9" s="1">
        <v>31496.0</v>
      </c>
      <c r="F9" s="1" t="s">
        <v>112</v>
      </c>
      <c r="G9" s="4">
        <v>5.766</v>
      </c>
      <c r="H9" s="4">
        <v>4.239</v>
      </c>
      <c r="I9" s="5">
        <v>24.44</v>
      </c>
      <c r="J9" s="27">
        <f t="shared" si="1"/>
        <v>241</v>
      </c>
      <c r="K9" s="21">
        <f t="shared" si="2"/>
        <v>41.79673951</v>
      </c>
      <c r="L9" s="30">
        <f t="shared" si="3"/>
        <v>0.7791891892</v>
      </c>
      <c r="M9" s="34">
        <f t="shared" si="4"/>
        <v>1.634</v>
      </c>
      <c r="N9" s="36">
        <f t="shared" si="5"/>
        <v>65.36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44466.0</v>
      </c>
      <c r="B10" s="17">
        <v>0.4388888888888889</v>
      </c>
      <c r="C10" s="1" t="s">
        <v>38</v>
      </c>
      <c r="D10" s="1" t="s">
        <v>39</v>
      </c>
      <c r="E10" s="1">
        <v>31707.0</v>
      </c>
      <c r="F10" s="1" t="s">
        <v>114</v>
      </c>
      <c r="G10" s="4">
        <v>5.213</v>
      </c>
      <c r="H10" s="4">
        <v>4.349</v>
      </c>
      <c r="I10" s="5">
        <v>22.67</v>
      </c>
      <c r="J10" s="27">
        <f t="shared" si="1"/>
        <v>211</v>
      </c>
      <c r="K10" s="21">
        <f t="shared" si="2"/>
        <v>40.47573374</v>
      </c>
      <c r="L10" s="30">
        <f t="shared" si="3"/>
        <v>0.7044594595</v>
      </c>
      <c r="M10" s="34">
        <f t="shared" si="4"/>
        <v>2.187</v>
      </c>
      <c r="N10" s="36">
        <f t="shared" si="5"/>
        <v>87.48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>
        <v>44466.0</v>
      </c>
      <c r="B11" s="17">
        <v>0.6208333333333333</v>
      </c>
      <c r="C11" s="1" t="s">
        <v>40</v>
      </c>
      <c r="D11" s="1" t="s">
        <v>39</v>
      </c>
      <c r="E11" s="1">
        <v>31895.0</v>
      </c>
      <c r="F11" s="1" t="s">
        <v>116</v>
      </c>
      <c r="G11" s="4">
        <v>4.839</v>
      </c>
      <c r="H11" s="4">
        <v>3.699</v>
      </c>
      <c r="I11" s="5">
        <v>17.9</v>
      </c>
      <c r="J11" s="27">
        <f t="shared" si="1"/>
        <v>188</v>
      </c>
      <c r="K11" s="21">
        <f t="shared" si="2"/>
        <v>38.85100227</v>
      </c>
      <c r="L11" s="30">
        <f t="shared" si="3"/>
        <v>0.6539189189</v>
      </c>
      <c r="M11" s="34">
        <f t="shared" si="4"/>
        <v>2.561</v>
      </c>
      <c r="N11" s="36">
        <f t="shared" si="5"/>
        <v>102.44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>
        <v>44467.0</v>
      </c>
      <c r="B12" s="17">
        <v>0.4166666666666667</v>
      </c>
      <c r="C12" s="1" t="s">
        <v>41</v>
      </c>
      <c r="D12" s="1" t="s">
        <v>42</v>
      </c>
      <c r="E12" s="1">
        <v>32050.0</v>
      </c>
      <c r="F12" s="1" t="s">
        <v>118</v>
      </c>
      <c r="G12" s="4">
        <v>4.773</v>
      </c>
      <c r="H12" s="4">
        <v>4.959</v>
      </c>
      <c r="I12" s="5">
        <v>23.67</v>
      </c>
      <c r="J12" s="27">
        <f t="shared" si="1"/>
        <v>155</v>
      </c>
      <c r="K12" s="21">
        <f t="shared" si="2"/>
        <v>32.4743348</v>
      </c>
      <c r="L12" s="30">
        <f t="shared" si="3"/>
        <v>0.645</v>
      </c>
      <c r="M12" s="34">
        <f t="shared" si="4"/>
        <v>2.627</v>
      </c>
      <c r="N12" s="36">
        <f t="shared" si="5"/>
        <v>105.08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44467.0</v>
      </c>
      <c r="B13" s="17">
        <v>0.5111111111111111</v>
      </c>
      <c r="C13" s="1" t="s">
        <v>43</v>
      </c>
      <c r="D13" s="1" t="s">
        <v>44</v>
      </c>
      <c r="E13" s="1">
        <v>32206.0</v>
      </c>
      <c r="F13" s="1" t="s">
        <v>120</v>
      </c>
      <c r="G13" s="4">
        <v>5.274</v>
      </c>
      <c r="H13" s="4">
        <v>4.689</v>
      </c>
      <c r="I13" s="5">
        <v>24.73</v>
      </c>
      <c r="J13" s="27">
        <f t="shared" si="1"/>
        <v>156</v>
      </c>
      <c r="K13" s="21">
        <f t="shared" si="2"/>
        <v>29.57906712</v>
      </c>
      <c r="L13" s="30">
        <f t="shared" si="3"/>
        <v>0.7127027027</v>
      </c>
      <c r="M13" s="34">
        <f t="shared" si="4"/>
        <v>2.126</v>
      </c>
      <c r="N13" s="36">
        <f t="shared" si="5"/>
        <v>85.04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8">
        <v>44484.0</v>
      </c>
      <c r="B14" s="17">
        <v>0.3958333333333333</v>
      </c>
      <c r="C14" s="1" t="s">
        <v>46</v>
      </c>
      <c r="D14" s="1" t="s">
        <v>44</v>
      </c>
      <c r="E14" s="1">
        <v>32347.0</v>
      </c>
      <c r="F14" s="1" t="s">
        <v>116</v>
      </c>
      <c r="G14" s="4">
        <v>2.86</v>
      </c>
      <c r="H14" s="4">
        <v>4.239</v>
      </c>
      <c r="I14" s="5">
        <v>12.12</v>
      </c>
      <c r="J14" s="27">
        <f t="shared" si="1"/>
        <v>141</v>
      </c>
      <c r="K14" s="21">
        <f t="shared" si="2"/>
        <v>49.3006993</v>
      </c>
      <c r="L14" s="30">
        <f t="shared" si="3"/>
        <v>0.3864864865</v>
      </c>
      <c r="M14" s="34">
        <f t="shared" si="4"/>
        <v>4.54</v>
      </c>
      <c r="N14" s="36">
        <f t="shared" si="5"/>
        <v>181.6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8">
        <v>44484.0</v>
      </c>
      <c r="B15" s="17">
        <v>0.5534722222222223</v>
      </c>
      <c r="C15" s="20" t="s">
        <v>47</v>
      </c>
      <c r="D15" s="1" t="s">
        <v>44</v>
      </c>
      <c r="E15" s="1">
        <v>32475.0</v>
      </c>
      <c r="F15" s="1" t="s">
        <v>121</v>
      </c>
      <c r="G15" s="4">
        <v>3.61</v>
      </c>
      <c r="H15" s="4">
        <v>5.039</v>
      </c>
      <c r="I15" s="5">
        <v>18.19</v>
      </c>
      <c r="J15" s="27">
        <f t="shared" si="1"/>
        <v>128</v>
      </c>
      <c r="K15" s="21">
        <f t="shared" si="2"/>
        <v>35.45706371</v>
      </c>
      <c r="L15" s="30">
        <f t="shared" si="3"/>
        <v>0.4878378378</v>
      </c>
      <c r="M15" s="34">
        <f t="shared" si="4"/>
        <v>3.79</v>
      </c>
      <c r="N15" s="36">
        <f t="shared" si="5"/>
        <v>151.6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8">
        <v>44484.0</v>
      </c>
      <c r="B16" s="17">
        <v>0.6673611111111111</v>
      </c>
      <c r="C16" s="1" t="s">
        <v>48</v>
      </c>
      <c r="D16" s="1" t="s">
        <v>42</v>
      </c>
      <c r="E16" s="1">
        <v>32613.0</v>
      </c>
      <c r="F16" s="1" t="s">
        <v>118</v>
      </c>
      <c r="G16" s="4">
        <v>4.824</v>
      </c>
      <c r="H16" s="4">
        <v>3.719</v>
      </c>
      <c r="I16" s="5">
        <v>17.94</v>
      </c>
      <c r="J16" s="27">
        <f t="shared" si="1"/>
        <v>138</v>
      </c>
      <c r="K16" s="21">
        <f t="shared" si="2"/>
        <v>28.60696517</v>
      </c>
      <c r="L16" s="30">
        <f t="shared" si="3"/>
        <v>0.6518918919</v>
      </c>
      <c r="M16" s="34">
        <f t="shared" si="4"/>
        <v>2.576</v>
      </c>
      <c r="N16" s="36">
        <f t="shared" si="5"/>
        <v>103.04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8">
        <v>44485.0</v>
      </c>
      <c r="B17" s="17">
        <v>0.375</v>
      </c>
      <c r="C17" s="1" t="s">
        <v>50</v>
      </c>
      <c r="D17" s="1" t="s">
        <v>51</v>
      </c>
      <c r="E17" s="1">
        <v>32776.0</v>
      </c>
      <c r="F17" s="1" t="s">
        <v>112</v>
      </c>
      <c r="G17" s="4">
        <v>4.742</v>
      </c>
      <c r="H17" s="4">
        <v>4.199</v>
      </c>
      <c r="I17" s="5">
        <v>19.91</v>
      </c>
      <c r="J17" s="27">
        <f t="shared" si="1"/>
        <v>163</v>
      </c>
      <c r="K17" s="21">
        <f t="shared" si="2"/>
        <v>34.37368199</v>
      </c>
      <c r="L17" s="30">
        <f t="shared" si="3"/>
        <v>0.6408108108</v>
      </c>
      <c r="M17" s="34">
        <f t="shared" si="4"/>
        <v>2.658</v>
      </c>
      <c r="N17" s="36">
        <f t="shared" si="5"/>
        <v>106.32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8">
        <v>44485.0</v>
      </c>
      <c r="B18" s="17">
        <v>0.5090277777777777</v>
      </c>
      <c r="C18" s="1" t="s">
        <v>52</v>
      </c>
      <c r="D18" s="1" t="s">
        <v>51</v>
      </c>
      <c r="E18" s="1">
        <v>32968.0</v>
      </c>
      <c r="F18" s="1" t="s">
        <v>123</v>
      </c>
      <c r="G18" s="4">
        <v>4.869</v>
      </c>
      <c r="H18" s="4">
        <v>3.699</v>
      </c>
      <c r="I18" s="5">
        <v>18.01</v>
      </c>
      <c r="J18" s="27">
        <f t="shared" si="1"/>
        <v>192</v>
      </c>
      <c r="K18" s="21">
        <f t="shared" si="2"/>
        <v>39.43314849</v>
      </c>
      <c r="L18" s="30">
        <f t="shared" si="3"/>
        <v>0.657972973</v>
      </c>
      <c r="M18" s="34">
        <f t="shared" si="4"/>
        <v>2.531</v>
      </c>
      <c r="N18" s="36">
        <f t="shared" si="5"/>
        <v>101.24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8">
        <v>44486.0</v>
      </c>
      <c r="B19" s="17">
        <v>0.33125</v>
      </c>
      <c r="C19" s="1" t="s">
        <v>53</v>
      </c>
      <c r="D19" s="1" t="s">
        <v>54</v>
      </c>
      <c r="E19" s="1">
        <v>33151.0</v>
      </c>
      <c r="F19" s="1" t="s">
        <v>116</v>
      </c>
      <c r="G19" s="4">
        <v>4.324</v>
      </c>
      <c r="H19" s="4">
        <v>3.499</v>
      </c>
      <c r="I19" s="5">
        <v>15.13</v>
      </c>
      <c r="J19" s="27">
        <f t="shared" si="1"/>
        <v>183</v>
      </c>
      <c r="K19" s="21">
        <f t="shared" si="2"/>
        <v>42.32192414</v>
      </c>
      <c r="L19" s="30">
        <f t="shared" si="3"/>
        <v>0.5843243243</v>
      </c>
      <c r="M19" s="34">
        <f t="shared" si="4"/>
        <v>3.076</v>
      </c>
      <c r="N19" s="36">
        <f t="shared" si="5"/>
        <v>123.04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8">
        <v>44486.0</v>
      </c>
      <c r="B20" s="17">
        <v>0.44305555555555554</v>
      </c>
      <c r="C20" s="1" t="s">
        <v>55</v>
      </c>
      <c r="D20" s="1" t="s">
        <v>54</v>
      </c>
      <c r="E20" s="1">
        <v>33308.0</v>
      </c>
      <c r="F20" s="1" t="s">
        <v>124</v>
      </c>
      <c r="G20" s="4">
        <v>4.313</v>
      </c>
      <c r="H20" s="4">
        <v>3.699</v>
      </c>
      <c r="I20" s="5">
        <v>15.95</v>
      </c>
      <c r="J20" s="27">
        <f t="shared" si="1"/>
        <v>157</v>
      </c>
      <c r="K20" s="21">
        <f t="shared" si="2"/>
        <v>36.40157663</v>
      </c>
      <c r="L20" s="30">
        <f t="shared" si="3"/>
        <v>0.5828378378</v>
      </c>
      <c r="M20" s="34">
        <f t="shared" si="4"/>
        <v>3.087</v>
      </c>
      <c r="N20" s="36">
        <f t="shared" si="5"/>
        <v>123.48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8">
        <v>44486.0</v>
      </c>
      <c r="B21" s="17">
        <v>0.12916666666666668</v>
      </c>
      <c r="C21" s="1" t="s">
        <v>57</v>
      </c>
      <c r="D21" s="1" t="s">
        <v>34</v>
      </c>
      <c r="E21" s="1">
        <v>33531.0</v>
      </c>
      <c r="F21" s="1" t="s">
        <v>125</v>
      </c>
      <c r="G21" s="4">
        <v>5.138</v>
      </c>
      <c r="H21" s="4">
        <v>4.149</v>
      </c>
      <c r="I21" s="5">
        <v>21.32</v>
      </c>
      <c r="J21" s="27">
        <f t="shared" si="1"/>
        <v>223</v>
      </c>
      <c r="K21" s="21">
        <f t="shared" si="2"/>
        <v>43.40210199</v>
      </c>
      <c r="L21" s="30">
        <f t="shared" si="3"/>
        <v>0.6943243243</v>
      </c>
      <c r="M21" s="34">
        <f t="shared" si="4"/>
        <v>2.262</v>
      </c>
      <c r="N21" s="36">
        <f t="shared" si="5"/>
        <v>90.48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8">
        <v>44487.0</v>
      </c>
      <c r="B22" s="17">
        <v>0.49722222222222223</v>
      </c>
      <c r="C22" s="1" t="s">
        <v>58</v>
      </c>
      <c r="D22" s="1" t="s">
        <v>59</v>
      </c>
      <c r="E22" s="1">
        <v>33746.0</v>
      </c>
      <c r="F22" s="1" t="s">
        <v>126</v>
      </c>
      <c r="G22" s="4">
        <v>4.356</v>
      </c>
      <c r="H22" s="4">
        <v>3.769</v>
      </c>
      <c r="I22" s="5">
        <v>16.42</v>
      </c>
      <c r="J22" s="27">
        <f t="shared" si="1"/>
        <v>215</v>
      </c>
      <c r="K22" s="21">
        <f t="shared" si="2"/>
        <v>49.35720845</v>
      </c>
      <c r="L22" s="30">
        <f t="shared" si="3"/>
        <v>0.5886486486</v>
      </c>
      <c r="M22" s="34">
        <f t="shared" si="4"/>
        <v>3.044</v>
      </c>
      <c r="N22" s="36">
        <f t="shared" si="5"/>
        <v>121.76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8">
        <v>44488.0</v>
      </c>
      <c r="B23" s="17">
        <v>0.3548611111111111</v>
      </c>
      <c r="C23" s="1" t="s">
        <v>60</v>
      </c>
      <c r="D23" s="1" t="s">
        <v>30</v>
      </c>
      <c r="E23" s="1">
        <v>33923.0</v>
      </c>
      <c r="F23" s="1" t="s">
        <v>127</v>
      </c>
      <c r="G23" s="4">
        <v>3.852</v>
      </c>
      <c r="H23" s="4">
        <v>3.949</v>
      </c>
      <c r="I23" s="5">
        <v>15.21</v>
      </c>
      <c r="J23" s="27">
        <f t="shared" si="1"/>
        <v>177</v>
      </c>
      <c r="K23" s="21">
        <f t="shared" si="2"/>
        <v>45.95015576</v>
      </c>
      <c r="L23" s="30">
        <f t="shared" si="3"/>
        <v>0.5205405405</v>
      </c>
      <c r="M23" s="34">
        <f t="shared" si="4"/>
        <v>3.548</v>
      </c>
      <c r="N23" s="36">
        <f t="shared" si="5"/>
        <v>141.92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>
        <v>44488.0</v>
      </c>
      <c r="B24" s="17">
        <v>0.4777777777777778</v>
      </c>
      <c r="C24" s="1" t="s">
        <v>61</v>
      </c>
      <c r="D24" s="1" t="s">
        <v>30</v>
      </c>
      <c r="E24" s="1">
        <v>34089.0</v>
      </c>
      <c r="F24" s="1" t="s">
        <v>128</v>
      </c>
      <c r="G24" s="4">
        <v>4.396</v>
      </c>
      <c r="H24" s="4">
        <v>3.699</v>
      </c>
      <c r="I24" s="5">
        <v>16.26</v>
      </c>
      <c r="J24" s="27">
        <f t="shared" si="1"/>
        <v>166</v>
      </c>
      <c r="K24" s="21">
        <f t="shared" si="2"/>
        <v>37.76160146</v>
      </c>
      <c r="L24" s="30">
        <f t="shared" si="3"/>
        <v>0.5940540541</v>
      </c>
      <c r="M24" s="34">
        <f t="shared" si="4"/>
        <v>3.004</v>
      </c>
      <c r="N24" s="36">
        <f t="shared" si="5"/>
        <v>120.16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>
        <v>44489.0</v>
      </c>
      <c r="B25" s="17">
        <v>0.36944444444444446</v>
      </c>
      <c r="C25" s="1" t="s">
        <v>62</v>
      </c>
      <c r="D25" s="1" t="s">
        <v>63</v>
      </c>
      <c r="E25" s="1">
        <v>34230.0</v>
      </c>
      <c r="F25" s="1" t="s">
        <v>116</v>
      </c>
      <c r="G25" s="4">
        <v>3.28</v>
      </c>
      <c r="H25" s="4">
        <v>3.249</v>
      </c>
      <c r="I25" s="5">
        <v>10.66</v>
      </c>
      <c r="J25" s="27">
        <f t="shared" si="1"/>
        <v>141</v>
      </c>
      <c r="K25" s="21">
        <f t="shared" si="2"/>
        <v>42.98780488</v>
      </c>
      <c r="L25" s="30">
        <f t="shared" si="3"/>
        <v>0.4432432432</v>
      </c>
      <c r="M25" s="34">
        <f t="shared" si="4"/>
        <v>4.12</v>
      </c>
      <c r="N25" s="36">
        <f t="shared" si="5"/>
        <v>164.8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>
        <v>44489.0</v>
      </c>
      <c r="B26" s="17">
        <v>0.49583333333333335</v>
      </c>
      <c r="C26" s="1" t="s">
        <v>64</v>
      </c>
      <c r="D26" s="1" t="s">
        <v>63</v>
      </c>
      <c r="E26" s="1">
        <v>34394.0</v>
      </c>
      <c r="F26" s="1" t="s">
        <v>132</v>
      </c>
      <c r="G26" s="4">
        <v>4.261</v>
      </c>
      <c r="H26" s="4">
        <v>3.949</v>
      </c>
      <c r="I26" s="5">
        <v>16.83</v>
      </c>
      <c r="J26" s="27">
        <f t="shared" si="1"/>
        <v>164</v>
      </c>
      <c r="K26" s="21">
        <f t="shared" si="2"/>
        <v>38.4886177</v>
      </c>
      <c r="L26" s="30">
        <f t="shared" si="3"/>
        <v>0.5758108108</v>
      </c>
      <c r="M26" s="34">
        <f t="shared" si="4"/>
        <v>3.139</v>
      </c>
      <c r="N26" s="36">
        <f t="shared" si="5"/>
        <v>125.56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>
        <v>44491.0</v>
      </c>
      <c r="B27" s="17">
        <v>0.40347222222222223</v>
      </c>
      <c r="C27" s="1" t="s">
        <v>65</v>
      </c>
      <c r="D27" s="1" t="s">
        <v>66</v>
      </c>
      <c r="E27" s="1">
        <v>34564.0</v>
      </c>
      <c r="F27" s="1" t="s">
        <v>134</v>
      </c>
      <c r="G27" s="4">
        <v>4.239</v>
      </c>
      <c r="H27" s="4">
        <v>3.899</v>
      </c>
      <c r="I27" s="5">
        <v>16.53</v>
      </c>
      <c r="J27" s="27">
        <f t="shared" si="1"/>
        <v>170</v>
      </c>
      <c r="K27" s="21">
        <f t="shared" si="2"/>
        <v>40.10379807</v>
      </c>
      <c r="L27" s="30">
        <f t="shared" si="3"/>
        <v>0.5728378378</v>
      </c>
      <c r="M27" s="34">
        <f t="shared" si="4"/>
        <v>3.161</v>
      </c>
      <c r="N27" s="36">
        <f t="shared" si="5"/>
        <v>126.44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8">
        <v>44497.0</v>
      </c>
      <c r="B28" s="17">
        <v>0.5451388888888888</v>
      </c>
      <c r="C28" s="1" t="s">
        <v>67</v>
      </c>
      <c r="D28" s="1" t="s">
        <v>66</v>
      </c>
      <c r="E28" s="1">
        <v>34744.0</v>
      </c>
      <c r="F28" s="1" t="s">
        <v>116</v>
      </c>
      <c r="G28" s="4">
        <v>4.309</v>
      </c>
      <c r="H28" s="4">
        <v>3.399</v>
      </c>
      <c r="I28" s="5">
        <v>14.65</v>
      </c>
      <c r="J28" s="27">
        <f t="shared" si="1"/>
        <v>180</v>
      </c>
      <c r="K28" s="21">
        <f t="shared" si="2"/>
        <v>41.77303319</v>
      </c>
      <c r="L28" s="30">
        <f t="shared" si="3"/>
        <v>0.5822972973</v>
      </c>
      <c r="M28" s="34">
        <f t="shared" si="4"/>
        <v>3.091</v>
      </c>
      <c r="N28" s="36">
        <f t="shared" si="5"/>
        <v>123.64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>
        <v>44507.0</v>
      </c>
      <c r="B29" s="17">
        <v>0.4388888888888889</v>
      </c>
      <c r="C29" s="1" t="s">
        <v>65</v>
      </c>
      <c r="D29" s="1" t="s">
        <v>66</v>
      </c>
      <c r="E29" s="1">
        <v>34885.0</v>
      </c>
      <c r="F29" s="1" t="s">
        <v>134</v>
      </c>
      <c r="G29" s="4">
        <v>4.159</v>
      </c>
      <c r="H29" s="4">
        <v>3.999</v>
      </c>
      <c r="I29" s="5">
        <v>16.63</v>
      </c>
      <c r="J29" s="27">
        <f t="shared" si="1"/>
        <v>141</v>
      </c>
      <c r="K29" s="21">
        <f t="shared" si="2"/>
        <v>33.90238038</v>
      </c>
      <c r="L29" s="30">
        <f t="shared" si="3"/>
        <v>0.562027027</v>
      </c>
      <c r="M29" s="34">
        <f t="shared" si="4"/>
        <v>3.241</v>
      </c>
      <c r="N29" s="36">
        <f t="shared" si="5"/>
        <v>129.64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8">
        <v>44513.0</v>
      </c>
      <c r="B30" s="17">
        <v>0.65</v>
      </c>
      <c r="C30" s="1" t="s">
        <v>67</v>
      </c>
      <c r="D30" s="1" t="s">
        <v>66</v>
      </c>
      <c r="E30" s="1">
        <v>35042.0</v>
      </c>
      <c r="F30" s="1" t="s">
        <v>116</v>
      </c>
      <c r="G30" s="4">
        <v>3.7</v>
      </c>
      <c r="H30" s="4">
        <v>3.489</v>
      </c>
      <c r="I30" s="5">
        <v>12.91</v>
      </c>
      <c r="J30" s="27">
        <f t="shared" si="1"/>
        <v>157</v>
      </c>
      <c r="K30" s="21">
        <f t="shared" si="2"/>
        <v>42.43243243</v>
      </c>
      <c r="L30" s="30">
        <f t="shared" si="3"/>
        <v>0.5</v>
      </c>
      <c r="M30" s="34">
        <f t="shared" si="4"/>
        <v>3.7</v>
      </c>
      <c r="N30" s="36">
        <f t="shared" si="5"/>
        <v>148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8">
        <v>44516.0</v>
      </c>
      <c r="B31" s="17">
        <v>0.60625</v>
      </c>
      <c r="C31" s="1" t="s">
        <v>67</v>
      </c>
      <c r="D31" s="1" t="s">
        <v>66</v>
      </c>
      <c r="E31" s="1">
        <v>35118.0</v>
      </c>
      <c r="F31" s="1" t="s">
        <v>116</v>
      </c>
      <c r="G31" s="4">
        <v>1.881</v>
      </c>
      <c r="H31" s="4">
        <v>3.489</v>
      </c>
      <c r="I31" s="5">
        <v>6.56</v>
      </c>
      <c r="J31" s="27">
        <f t="shared" si="1"/>
        <v>76</v>
      </c>
      <c r="K31" s="21">
        <f t="shared" si="2"/>
        <v>40.4040404</v>
      </c>
      <c r="L31" s="30">
        <f t="shared" si="3"/>
        <v>0.2541891892</v>
      </c>
      <c r="M31" s="34">
        <f t="shared" si="4"/>
        <v>5.519</v>
      </c>
      <c r="N31" s="36">
        <f t="shared" si="5"/>
        <v>220.76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8">
        <v>44520.0</v>
      </c>
      <c r="B32" s="17">
        <v>0.6819444444444445</v>
      </c>
      <c r="C32" s="1" t="s">
        <v>67</v>
      </c>
      <c r="D32" s="1" t="s">
        <v>66</v>
      </c>
      <c r="E32" s="1">
        <v>35223.0</v>
      </c>
      <c r="F32" s="1" t="s">
        <v>116</v>
      </c>
      <c r="G32" s="4">
        <v>3.458</v>
      </c>
      <c r="H32" s="4">
        <v>3.489</v>
      </c>
      <c r="I32" s="5">
        <v>12.06</v>
      </c>
      <c r="J32" s="27">
        <f t="shared" si="1"/>
        <v>105</v>
      </c>
      <c r="K32" s="21">
        <f t="shared" si="2"/>
        <v>30.36437247</v>
      </c>
      <c r="L32" s="30">
        <f t="shared" si="3"/>
        <v>0.4672972973</v>
      </c>
      <c r="M32" s="34">
        <f t="shared" si="4"/>
        <v>3.942</v>
      </c>
      <c r="N32" s="36">
        <f t="shared" si="5"/>
        <v>157.68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8">
        <v>44526.0</v>
      </c>
      <c r="B33" s="17">
        <v>0.5736111111111111</v>
      </c>
      <c r="C33" s="1" t="s">
        <v>67</v>
      </c>
      <c r="D33" s="1" t="s">
        <v>66</v>
      </c>
      <c r="E33" s="1">
        <v>35359.0</v>
      </c>
      <c r="F33" s="1" t="s">
        <v>116</v>
      </c>
      <c r="G33" s="4">
        <v>4.168</v>
      </c>
      <c r="H33" s="4">
        <v>3.459</v>
      </c>
      <c r="I33" s="5">
        <v>14.42</v>
      </c>
      <c r="J33" s="27">
        <f t="shared" si="1"/>
        <v>136</v>
      </c>
      <c r="K33" s="21">
        <f t="shared" si="2"/>
        <v>32.62955854</v>
      </c>
      <c r="L33" s="30">
        <f t="shared" si="3"/>
        <v>0.5632432432</v>
      </c>
      <c r="M33" s="34">
        <f t="shared" si="4"/>
        <v>3.232</v>
      </c>
      <c r="N33" s="36">
        <f t="shared" si="5"/>
        <v>129.28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>
        <v>44531.0</v>
      </c>
      <c r="B34" s="17">
        <v>0.42986111111111114</v>
      </c>
      <c r="C34" s="1" t="s">
        <v>67</v>
      </c>
      <c r="D34" s="1" t="s">
        <v>66</v>
      </c>
      <c r="E34" s="1">
        <v>35445.0</v>
      </c>
      <c r="F34" s="1" t="s">
        <v>116</v>
      </c>
      <c r="G34" s="4">
        <v>1.813</v>
      </c>
      <c r="H34" s="4">
        <v>3.429</v>
      </c>
      <c r="I34" s="5">
        <v>6.22</v>
      </c>
      <c r="J34" s="27">
        <f t="shared" si="1"/>
        <v>86</v>
      </c>
      <c r="K34" s="21">
        <f t="shared" si="2"/>
        <v>47.43519029</v>
      </c>
      <c r="L34" s="30">
        <f t="shared" si="3"/>
        <v>0.245</v>
      </c>
      <c r="M34" s="34">
        <f t="shared" si="4"/>
        <v>5.587</v>
      </c>
      <c r="N34" s="36">
        <f t="shared" si="5"/>
        <v>223.48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>
        <v>44537.0</v>
      </c>
      <c r="B35" s="17">
        <v>0.48125</v>
      </c>
      <c r="C35" s="1" t="s">
        <v>67</v>
      </c>
      <c r="D35" s="1" t="s">
        <v>66</v>
      </c>
      <c r="E35" s="1">
        <v>35584.0</v>
      </c>
      <c r="F35" s="1" t="s">
        <v>116</v>
      </c>
      <c r="G35" s="4">
        <v>4.271</v>
      </c>
      <c r="H35" s="4">
        <v>3.389</v>
      </c>
      <c r="I35" s="5">
        <v>14.47</v>
      </c>
      <c r="J35" s="27">
        <f t="shared" si="1"/>
        <v>139</v>
      </c>
      <c r="K35" s="21">
        <f t="shared" si="2"/>
        <v>32.54507141</v>
      </c>
      <c r="L35" s="30">
        <f t="shared" si="3"/>
        <v>0.5771621622</v>
      </c>
      <c r="M35" s="34">
        <f t="shared" si="4"/>
        <v>3.129</v>
      </c>
      <c r="N35" s="36">
        <f t="shared" si="5"/>
        <v>125.16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8">
        <v>44544.0</v>
      </c>
      <c r="B36" s="17">
        <v>0.6708333333333333</v>
      </c>
      <c r="C36" s="1" t="s">
        <v>67</v>
      </c>
      <c r="D36" s="1" t="s">
        <v>66</v>
      </c>
      <c r="E36" s="1">
        <v>35701.0</v>
      </c>
      <c r="F36" s="1" t="s">
        <v>116</v>
      </c>
      <c r="G36" s="4">
        <v>2.636</v>
      </c>
      <c r="H36" s="4">
        <v>3.389</v>
      </c>
      <c r="I36" s="5">
        <v>8.93</v>
      </c>
      <c r="J36" s="27">
        <f t="shared" si="1"/>
        <v>117</v>
      </c>
      <c r="K36" s="21">
        <f t="shared" si="2"/>
        <v>44.38543247</v>
      </c>
      <c r="L36" s="30">
        <f t="shared" si="3"/>
        <v>0.3562162162</v>
      </c>
      <c r="M36" s="34">
        <f t="shared" si="4"/>
        <v>4.764</v>
      </c>
      <c r="N36" s="36">
        <f t="shared" si="5"/>
        <v>190.56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8">
        <v>44550.0</v>
      </c>
      <c r="B37" s="17">
        <v>0.49027777777777776</v>
      </c>
      <c r="C37" s="1" t="s">
        <v>67</v>
      </c>
      <c r="D37" s="1" t="s">
        <v>66</v>
      </c>
      <c r="E37" s="1">
        <v>35804.0</v>
      </c>
      <c r="F37" s="1" t="s">
        <v>116</v>
      </c>
      <c r="G37" s="4">
        <v>3.444</v>
      </c>
      <c r="H37" s="4">
        <v>3.389</v>
      </c>
      <c r="I37" s="5">
        <v>11.67</v>
      </c>
      <c r="J37" s="27">
        <f t="shared" si="1"/>
        <v>103</v>
      </c>
      <c r="K37" s="21">
        <f t="shared" si="2"/>
        <v>29.90708479</v>
      </c>
      <c r="L37" s="30">
        <f t="shared" si="3"/>
        <v>0.4654054054</v>
      </c>
      <c r="M37" s="34">
        <f t="shared" si="4"/>
        <v>3.956</v>
      </c>
      <c r="N37" s="36">
        <f t="shared" si="5"/>
        <v>158.24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8">
        <v>44560.0</v>
      </c>
      <c r="B38" s="17">
        <v>0.5652777777777778</v>
      </c>
      <c r="C38" s="1" t="s">
        <v>67</v>
      </c>
      <c r="D38" s="1" t="s">
        <v>66</v>
      </c>
      <c r="E38" s="1">
        <v>35968.0</v>
      </c>
      <c r="F38" s="1" t="s">
        <v>116</v>
      </c>
      <c r="G38" s="4">
        <v>4.084</v>
      </c>
      <c r="H38" s="4">
        <v>3.389</v>
      </c>
      <c r="I38" s="5">
        <v>13.84</v>
      </c>
      <c r="J38" s="27">
        <f t="shared" si="1"/>
        <v>164</v>
      </c>
      <c r="K38" s="21">
        <f t="shared" si="2"/>
        <v>40.15670911</v>
      </c>
      <c r="L38" s="30">
        <f t="shared" si="3"/>
        <v>0.5518918919</v>
      </c>
      <c r="M38" s="34">
        <f t="shared" si="4"/>
        <v>3.316</v>
      </c>
      <c r="N38" s="36">
        <f t="shared" si="5"/>
        <v>132.64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33">
        <v>44579.0</v>
      </c>
      <c r="B39" s="58">
        <v>0.5041666666666667</v>
      </c>
      <c r="C39" s="8" t="s">
        <v>67</v>
      </c>
      <c r="D39" s="8" t="s">
        <v>66</v>
      </c>
      <c r="E39" s="8">
        <v>36040.0</v>
      </c>
      <c r="F39" s="8" t="s">
        <v>116</v>
      </c>
      <c r="G39" s="35">
        <v>1.751</v>
      </c>
      <c r="H39" s="35">
        <v>3.459</v>
      </c>
      <c r="I39" s="12">
        <v>6.06</v>
      </c>
      <c r="J39" s="27">
        <f t="shared" si="1"/>
        <v>72</v>
      </c>
      <c r="K39" s="21">
        <f t="shared" si="2"/>
        <v>41.11936037</v>
      </c>
      <c r="L39" s="30">
        <f t="shared" si="3"/>
        <v>0.2366216216</v>
      </c>
      <c r="M39" s="34">
        <f t="shared" si="4"/>
        <v>5.649</v>
      </c>
      <c r="N39" s="36">
        <f t="shared" si="5"/>
        <v>225.96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33">
        <v>44579.0</v>
      </c>
      <c r="B40" s="58">
        <v>0.5951388888888889</v>
      </c>
      <c r="C40" s="8" t="s">
        <v>69</v>
      </c>
      <c r="D40" s="8" t="s">
        <v>70</v>
      </c>
      <c r="E40" s="8">
        <v>36162.0</v>
      </c>
      <c r="F40" s="8" t="s">
        <v>144</v>
      </c>
      <c r="G40" s="35">
        <v>3.79</v>
      </c>
      <c r="H40" s="35">
        <v>4.159</v>
      </c>
      <c r="I40" s="12">
        <v>15.76</v>
      </c>
      <c r="J40" s="27">
        <f t="shared" si="1"/>
        <v>122</v>
      </c>
      <c r="K40" s="21">
        <f t="shared" si="2"/>
        <v>32.18997361</v>
      </c>
      <c r="L40" s="30">
        <f t="shared" si="3"/>
        <v>0.5121621622</v>
      </c>
      <c r="M40" s="34">
        <f t="shared" si="4"/>
        <v>3.61</v>
      </c>
      <c r="N40" s="36">
        <f t="shared" si="5"/>
        <v>144.4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33">
        <v>44580.0</v>
      </c>
      <c r="B41" s="58">
        <v>0.5923611111111111</v>
      </c>
      <c r="C41" s="8" t="s">
        <v>71</v>
      </c>
      <c r="D41" s="8" t="s">
        <v>70</v>
      </c>
      <c r="E41" s="8">
        <v>36318.0</v>
      </c>
      <c r="F41" s="8" t="s">
        <v>112</v>
      </c>
      <c r="G41" s="35">
        <v>5.3566</v>
      </c>
      <c r="H41" s="35">
        <v>4.169</v>
      </c>
      <c r="I41" s="12">
        <v>22.33</v>
      </c>
      <c r="J41" s="27">
        <f t="shared" si="1"/>
        <v>156</v>
      </c>
      <c r="K41" s="21">
        <f t="shared" si="2"/>
        <v>29.12295113</v>
      </c>
      <c r="L41" s="30">
        <f t="shared" si="3"/>
        <v>0.7238648649</v>
      </c>
      <c r="M41" s="34">
        <f t="shared" si="4"/>
        <v>2.0434</v>
      </c>
      <c r="N41" s="36">
        <f t="shared" si="5"/>
        <v>81.736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33">
        <v>44581.0</v>
      </c>
      <c r="B42" s="58">
        <v>0.44027777777777777</v>
      </c>
      <c r="C42" s="8" t="s">
        <v>72</v>
      </c>
      <c r="D42" s="8" t="s">
        <v>24</v>
      </c>
      <c r="E42" s="8">
        <v>36464.0</v>
      </c>
      <c r="F42" s="8" t="s">
        <v>145</v>
      </c>
      <c r="G42" s="35">
        <v>4.685</v>
      </c>
      <c r="H42" s="35">
        <v>3.299</v>
      </c>
      <c r="I42" s="12">
        <v>15.46</v>
      </c>
      <c r="J42" s="27">
        <f t="shared" si="1"/>
        <v>146</v>
      </c>
      <c r="K42" s="21">
        <f t="shared" si="2"/>
        <v>31.16328709</v>
      </c>
      <c r="L42" s="30">
        <f t="shared" si="3"/>
        <v>0.6331081081</v>
      </c>
      <c r="M42" s="34">
        <f t="shared" si="4"/>
        <v>2.715</v>
      </c>
      <c r="N42" s="36">
        <f t="shared" si="5"/>
        <v>108.6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33">
        <v>44582.0</v>
      </c>
      <c r="B43" s="58">
        <v>0.4083333333333333</v>
      </c>
      <c r="C43" s="8" t="s">
        <v>37</v>
      </c>
      <c r="D43" s="8" t="s">
        <v>24</v>
      </c>
      <c r="E43" s="8">
        <v>36645.0</v>
      </c>
      <c r="F43" s="8" t="s">
        <v>116</v>
      </c>
      <c r="G43" s="35">
        <v>5.182</v>
      </c>
      <c r="H43" s="35">
        <v>3.199</v>
      </c>
      <c r="I43" s="12">
        <v>16.58</v>
      </c>
      <c r="J43" s="27">
        <f t="shared" si="1"/>
        <v>181</v>
      </c>
      <c r="K43" s="21">
        <f t="shared" si="2"/>
        <v>34.928599</v>
      </c>
      <c r="L43" s="30">
        <f t="shared" si="3"/>
        <v>0.7002702703</v>
      </c>
      <c r="M43" s="34">
        <f t="shared" si="4"/>
        <v>2.218</v>
      </c>
      <c r="N43" s="36">
        <f t="shared" si="5"/>
        <v>88.72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33">
        <v>44582.0</v>
      </c>
      <c r="B44" s="58">
        <v>0.49375</v>
      </c>
      <c r="C44" s="8" t="s">
        <v>73</v>
      </c>
      <c r="D44" s="8" t="s">
        <v>59</v>
      </c>
      <c r="E44" s="8">
        <v>36778.0</v>
      </c>
      <c r="F44" s="8" t="s">
        <v>112</v>
      </c>
      <c r="G44" s="35">
        <v>3.829</v>
      </c>
      <c r="H44" s="35">
        <v>3.999</v>
      </c>
      <c r="I44" s="12">
        <v>15.31</v>
      </c>
      <c r="J44" s="27">
        <f t="shared" si="1"/>
        <v>133</v>
      </c>
      <c r="K44" s="21">
        <f t="shared" si="2"/>
        <v>34.73491773</v>
      </c>
      <c r="L44" s="30">
        <f t="shared" si="3"/>
        <v>0.5174324324</v>
      </c>
      <c r="M44" s="34">
        <f t="shared" si="4"/>
        <v>3.571</v>
      </c>
      <c r="N44" s="36">
        <f t="shared" si="5"/>
        <v>142.84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33">
        <v>44583.0</v>
      </c>
      <c r="B45" s="58">
        <v>0.41458333333333336</v>
      </c>
      <c r="C45" s="8" t="s">
        <v>75</v>
      </c>
      <c r="D45" s="8" t="s">
        <v>59</v>
      </c>
      <c r="E45" s="8">
        <v>36920.0</v>
      </c>
      <c r="F45" s="8" t="s">
        <v>147</v>
      </c>
      <c r="G45" s="35">
        <v>5.542</v>
      </c>
      <c r="H45" s="35">
        <v>3.499</v>
      </c>
      <c r="I45" s="12">
        <v>19.11</v>
      </c>
      <c r="J45" s="27">
        <f t="shared" si="1"/>
        <v>142</v>
      </c>
      <c r="K45" s="21">
        <f t="shared" si="2"/>
        <v>25.62251895</v>
      </c>
      <c r="L45" s="30">
        <f t="shared" si="3"/>
        <v>0.7489189189</v>
      </c>
      <c r="M45" s="34">
        <f t="shared" si="4"/>
        <v>1.858</v>
      </c>
      <c r="N45" s="36">
        <f t="shared" si="5"/>
        <v>74.32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33">
        <v>44583.0</v>
      </c>
      <c r="B46" s="58">
        <v>0.47708333333333336</v>
      </c>
      <c r="C46" s="8" t="s">
        <v>76</v>
      </c>
      <c r="D46" s="8" t="s">
        <v>34</v>
      </c>
      <c r="E46" s="8">
        <v>37089.0</v>
      </c>
      <c r="F46" s="8" t="s">
        <v>149</v>
      </c>
      <c r="G46" s="35">
        <v>4.795</v>
      </c>
      <c r="H46" s="35">
        <v>3.959</v>
      </c>
      <c r="I46" s="12">
        <v>18.98</v>
      </c>
      <c r="J46" s="27">
        <f t="shared" si="1"/>
        <v>169</v>
      </c>
      <c r="K46" s="21">
        <f t="shared" si="2"/>
        <v>35.24504692</v>
      </c>
      <c r="L46" s="30">
        <f t="shared" si="3"/>
        <v>0.647972973</v>
      </c>
      <c r="M46" s="34">
        <f t="shared" si="4"/>
        <v>2.605</v>
      </c>
      <c r="N46" s="36">
        <f t="shared" si="5"/>
        <v>104.2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33">
        <v>44584.0</v>
      </c>
      <c r="B47" s="58">
        <v>0.3548611111111111</v>
      </c>
      <c r="C47" s="8" t="s">
        <v>57</v>
      </c>
      <c r="D47" s="8" t="s">
        <v>34</v>
      </c>
      <c r="E47" s="8">
        <v>37237.0</v>
      </c>
      <c r="F47" s="8" t="s">
        <v>125</v>
      </c>
      <c r="G47" s="35">
        <v>4.663</v>
      </c>
      <c r="H47" s="35">
        <v>3.749</v>
      </c>
      <c r="I47" s="12">
        <v>17.48</v>
      </c>
      <c r="J47" s="27">
        <f t="shared" si="1"/>
        <v>148</v>
      </c>
      <c r="K47" s="21">
        <f t="shared" si="2"/>
        <v>31.73922368</v>
      </c>
      <c r="L47" s="30">
        <f t="shared" si="3"/>
        <v>0.6301351351</v>
      </c>
      <c r="M47" s="34">
        <f t="shared" si="4"/>
        <v>2.737</v>
      </c>
      <c r="N47" s="36">
        <f t="shared" si="5"/>
        <v>109.48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33">
        <v>44584.0</v>
      </c>
      <c r="B48" s="58">
        <v>0.43333333333333335</v>
      </c>
      <c r="C48" s="8" t="s">
        <v>78</v>
      </c>
      <c r="D48" s="8" t="s">
        <v>34</v>
      </c>
      <c r="E48" s="8">
        <v>37337.0</v>
      </c>
      <c r="F48" s="8" t="s">
        <v>154</v>
      </c>
      <c r="G48" s="35">
        <v>2.633</v>
      </c>
      <c r="H48" s="35">
        <v>4.349</v>
      </c>
      <c r="I48" s="12">
        <v>11.45</v>
      </c>
      <c r="J48" s="27">
        <f t="shared" si="1"/>
        <v>100</v>
      </c>
      <c r="K48" s="21">
        <f t="shared" si="2"/>
        <v>37.97949107</v>
      </c>
      <c r="L48" s="30">
        <f t="shared" si="3"/>
        <v>0.3558108108</v>
      </c>
      <c r="M48" s="34">
        <f t="shared" si="4"/>
        <v>4.767</v>
      </c>
      <c r="N48" s="36">
        <f t="shared" si="5"/>
        <v>190.68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33">
        <v>44584.0</v>
      </c>
      <c r="B49" s="58">
        <v>0.6006944444444444</v>
      </c>
      <c r="C49" s="8" t="s">
        <v>79</v>
      </c>
      <c r="D49" s="8" t="s">
        <v>54</v>
      </c>
      <c r="E49" s="8">
        <v>37440.0</v>
      </c>
      <c r="F49" s="8" t="s">
        <v>147</v>
      </c>
      <c r="G49" s="35">
        <v>2.514</v>
      </c>
      <c r="H49" s="35">
        <v>4.259</v>
      </c>
      <c r="I49" s="12">
        <v>10.71</v>
      </c>
      <c r="J49" s="27">
        <f t="shared" si="1"/>
        <v>103</v>
      </c>
      <c r="K49" s="21">
        <f t="shared" si="2"/>
        <v>40.97056484</v>
      </c>
      <c r="L49" s="30">
        <f t="shared" si="3"/>
        <v>0.3397297297</v>
      </c>
      <c r="M49" s="34">
        <f t="shared" si="4"/>
        <v>4.886</v>
      </c>
      <c r="N49" s="36">
        <f t="shared" si="5"/>
        <v>195.44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33">
        <v>44585.0</v>
      </c>
      <c r="B50" s="58">
        <v>0.5034722222222222</v>
      </c>
      <c r="C50" s="8" t="s">
        <v>80</v>
      </c>
      <c r="D50" s="8" t="s">
        <v>54</v>
      </c>
      <c r="E50" s="8">
        <v>37666.0</v>
      </c>
      <c r="F50" s="8" t="s">
        <v>157</v>
      </c>
      <c r="G50" s="35">
        <v>5.698</v>
      </c>
      <c r="H50" s="35">
        <v>3.979</v>
      </c>
      <c r="I50" s="12">
        <v>22.67</v>
      </c>
      <c r="J50" s="27">
        <f t="shared" si="1"/>
        <v>226</v>
      </c>
      <c r="K50" s="21">
        <f t="shared" si="2"/>
        <v>39.66303966</v>
      </c>
      <c r="L50" s="30">
        <f t="shared" si="3"/>
        <v>0.77</v>
      </c>
      <c r="M50" s="34">
        <f t="shared" si="4"/>
        <v>1.702</v>
      </c>
      <c r="N50" s="36">
        <f t="shared" si="5"/>
        <v>68.08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33">
        <v>44586.0</v>
      </c>
      <c r="B51" s="58">
        <v>0.45208333333333334</v>
      </c>
      <c r="C51" s="8" t="s">
        <v>81</v>
      </c>
      <c r="D51" s="8" t="s">
        <v>51</v>
      </c>
      <c r="E51" s="8">
        <v>37897.0</v>
      </c>
      <c r="F51" s="8" t="s">
        <v>112</v>
      </c>
      <c r="G51" s="35">
        <v>5.256</v>
      </c>
      <c r="H51" s="35">
        <v>4.339</v>
      </c>
      <c r="I51" s="12">
        <v>22.81</v>
      </c>
      <c r="J51" s="27">
        <f t="shared" si="1"/>
        <v>231</v>
      </c>
      <c r="K51" s="21">
        <f t="shared" si="2"/>
        <v>43.94977169</v>
      </c>
      <c r="L51" s="30">
        <f t="shared" si="3"/>
        <v>0.7102702703</v>
      </c>
      <c r="M51" s="34">
        <f t="shared" si="4"/>
        <v>2.144</v>
      </c>
      <c r="N51" s="36">
        <f t="shared" si="5"/>
        <v>85.76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33">
        <v>44587.0</v>
      </c>
      <c r="B52" s="58">
        <v>0.5333333333333333</v>
      </c>
      <c r="C52" s="8" t="s">
        <v>82</v>
      </c>
      <c r="D52" s="8" t="s">
        <v>51</v>
      </c>
      <c r="E52" s="8">
        <v>38090.0</v>
      </c>
      <c r="F52" s="8" t="s">
        <v>126</v>
      </c>
      <c r="G52" s="35">
        <v>4.874</v>
      </c>
      <c r="H52" s="35">
        <v>4.259</v>
      </c>
      <c r="I52" s="12">
        <v>20.76</v>
      </c>
      <c r="J52" s="27">
        <f t="shared" si="1"/>
        <v>193</v>
      </c>
      <c r="K52" s="21">
        <f t="shared" si="2"/>
        <v>39.59786623</v>
      </c>
      <c r="L52" s="30">
        <f t="shared" si="3"/>
        <v>0.6586486486</v>
      </c>
      <c r="M52" s="34">
        <f t="shared" si="4"/>
        <v>2.526</v>
      </c>
      <c r="N52" s="36">
        <f t="shared" si="5"/>
        <v>101.04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33">
        <v>44588.0</v>
      </c>
      <c r="B53" s="58">
        <v>0.3993055555555556</v>
      </c>
      <c r="C53" s="8" t="s">
        <v>84</v>
      </c>
      <c r="D53" s="8" t="s">
        <v>51</v>
      </c>
      <c r="E53" s="8">
        <v>38250.0</v>
      </c>
      <c r="F53" s="8" t="s">
        <v>126</v>
      </c>
      <c r="G53" s="35">
        <v>3.318</v>
      </c>
      <c r="H53" s="35">
        <v>3.869</v>
      </c>
      <c r="I53" s="12">
        <v>12.84</v>
      </c>
      <c r="J53" s="27">
        <f t="shared" si="1"/>
        <v>160</v>
      </c>
      <c r="K53" s="21">
        <f t="shared" si="2"/>
        <v>48.22182037</v>
      </c>
      <c r="L53" s="30">
        <f t="shared" si="3"/>
        <v>0.4483783784</v>
      </c>
      <c r="M53" s="34">
        <f t="shared" si="4"/>
        <v>4.082</v>
      </c>
      <c r="N53" s="36">
        <f t="shared" si="5"/>
        <v>163.28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33">
        <v>44588.0</v>
      </c>
      <c r="B54" s="58">
        <v>0.4798611111111111</v>
      </c>
      <c r="C54" s="8" t="s">
        <v>85</v>
      </c>
      <c r="D54" s="8" t="s">
        <v>44</v>
      </c>
      <c r="E54" s="8">
        <v>38426.0</v>
      </c>
      <c r="F54" s="8" t="s">
        <v>163</v>
      </c>
      <c r="G54" s="35">
        <v>4.311</v>
      </c>
      <c r="H54" s="35">
        <v>4.619</v>
      </c>
      <c r="I54" s="12">
        <v>19.91</v>
      </c>
      <c r="J54" s="27">
        <f t="shared" si="1"/>
        <v>176</v>
      </c>
      <c r="K54" s="21">
        <f t="shared" si="2"/>
        <v>40.82579448</v>
      </c>
      <c r="L54" s="30">
        <f t="shared" si="3"/>
        <v>0.5825675676</v>
      </c>
      <c r="M54" s="34">
        <f t="shared" si="4"/>
        <v>3.089</v>
      </c>
      <c r="N54" s="36">
        <f t="shared" si="5"/>
        <v>123.56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37">
        <v>44594.0</v>
      </c>
      <c r="B55" s="58">
        <v>0.6291666666666667</v>
      </c>
      <c r="C55" s="8" t="s">
        <v>86</v>
      </c>
      <c r="D55" s="8" t="s">
        <v>44</v>
      </c>
      <c r="E55" s="8">
        <v>38617.0</v>
      </c>
      <c r="F55" s="8" t="s">
        <v>164</v>
      </c>
      <c r="G55" s="35">
        <v>4.818</v>
      </c>
      <c r="H55" s="35">
        <v>4.999</v>
      </c>
      <c r="I55" s="12">
        <v>24.09</v>
      </c>
      <c r="J55" s="27">
        <f t="shared" si="1"/>
        <v>191</v>
      </c>
      <c r="K55" s="21">
        <f t="shared" si="2"/>
        <v>39.6430054</v>
      </c>
      <c r="L55" s="30">
        <f t="shared" si="3"/>
        <v>0.6510810811</v>
      </c>
      <c r="M55" s="34">
        <f t="shared" si="4"/>
        <v>2.582</v>
      </c>
      <c r="N55" s="36">
        <f t="shared" si="5"/>
        <v>103.28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39"/>
      <c r="H56" s="39"/>
      <c r="I56" s="60"/>
      <c r="J56" s="10"/>
      <c r="K56" s="34"/>
      <c r="L56" s="10"/>
      <c r="M56" s="10"/>
      <c r="N56" s="6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35" t="s">
        <v>88</v>
      </c>
      <c r="H57" s="35" t="s">
        <v>165</v>
      </c>
      <c r="I57" s="12" t="s">
        <v>166</v>
      </c>
      <c r="J57" s="8" t="s">
        <v>10</v>
      </c>
      <c r="K57" s="62" t="s">
        <v>167</v>
      </c>
      <c r="L57" s="10" t="str">
        <f t="shared" ref="L57:N57" si="6">L1</f>
        <v>% of 7.4G</v>
      </c>
      <c r="M57" s="10" t="str">
        <f t="shared" si="6"/>
        <v>Gal in Tank</v>
      </c>
      <c r="N57" s="60" t="str">
        <f t="shared" si="6"/>
        <v>Miles Left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 t="s">
        <v>89</v>
      </c>
      <c r="B58" s="10">
        <f>days(A55,A2)</f>
        <v>132</v>
      </c>
      <c r="C58" s="10"/>
      <c r="D58" s="10"/>
      <c r="E58" s="10"/>
      <c r="F58" s="8" t="s">
        <v>171</v>
      </c>
      <c r="G58" s="39">
        <f>SUM(G2:G55)</f>
        <v>227.6296</v>
      </c>
      <c r="H58" s="39"/>
      <c r="I58" s="60">
        <f t="shared" ref="I58:J58" si="7">SUM(I2:I55)</f>
        <v>872.72</v>
      </c>
      <c r="J58" s="63">
        <f t="shared" si="7"/>
        <v>8327</v>
      </c>
      <c r="K58" s="34"/>
      <c r="L58" s="10"/>
      <c r="M58" s="10"/>
      <c r="N58" s="6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 t="s">
        <v>90</v>
      </c>
      <c r="B59" s="34">
        <f>B58/30.42</f>
        <v>4.339250493</v>
      </c>
      <c r="C59" s="10"/>
      <c r="D59" s="10"/>
      <c r="E59" s="10"/>
      <c r="F59" s="8" t="s">
        <v>178</v>
      </c>
      <c r="G59" s="39">
        <f t="shared" ref="G59:N59" si="8">AVERAGE(G2:G55)</f>
        <v>4.215362963</v>
      </c>
      <c r="H59" s="39">
        <f t="shared" si="8"/>
        <v>3.920509434</v>
      </c>
      <c r="I59" s="60">
        <f t="shared" si="8"/>
        <v>16.46641509</v>
      </c>
      <c r="J59" s="39">
        <f t="shared" si="8"/>
        <v>157.1132075</v>
      </c>
      <c r="K59" s="39">
        <f t="shared" si="8"/>
        <v>38.21963841</v>
      </c>
      <c r="L59" s="30">
        <f t="shared" si="8"/>
        <v>0.5650933197</v>
      </c>
      <c r="M59" s="34">
        <f t="shared" si="8"/>
        <v>3.218309434</v>
      </c>
      <c r="N59" s="36">
        <f t="shared" si="8"/>
        <v>128.7323774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39"/>
      <c r="H60" s="39"/>
      <c r="I60" s="60"/>
      <c r="J60" s="10"/>
      <c r="K60" s="62" t="s">
        <v>113</v>
      </c>
      <c r="L60" s="30">
        <f t="shared" ref="L60:N60" si="9">MIN(L2:L55)</f>
        <v>0.2366216216</v>
      </c>
      <c r="M60" s="34">
        <f t="shared" si="9"/>
        <v>1.13</v>
      </c>
      <c r="N60" s="36">
        <f t="shared" si="9"/>
        <v>45.2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33"/>
      <c r="B61" s="58"/>
      <c r="C61" s="8"/>
      <c r="D61" s="8"/>
      <c r="E61" s="8"/>
      <c r="F61" s="8"/>
      <c r="G61" s="35"/>
      <c r="H61" s="35"/>
      <c r="I61" s="12"/>
      <c r="J61" s="10"/>
      <c r="K61" s="34"/>
      <c r="L61" s="30"/>
      <c r="M61" s="34"/>
      <c r="N61" s="36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33">
        <v>44701.0</v>
      </c>
      <c r="B62" s="58">
        <v>0.3333333333333333</v>
      </c>
      <c r="C62" s="8" t="s">
        <v>46</v>
      </c>
      <c r="D62" s="8" t="s">
        <v>44</v>
      </c>
      <c r="E62" s="8">
        <v>38781.0</v>
      </c>
      <c r="F62" s="8" t="s">
        <v>116</v>
      </c>
      <c r="G62" s="35">
        <v>4.918</v>
      </c>
      <c r="H62" s="35">
        <v>5.859</v>
      </c>
      <c r="I62" s="12">
        <v>28.81</v>
      </c>
      <c r="J62" s="10">
        <f>E62-E55</f>
        <v>164</v>
      </c>
      <c r="K62" s="34">
        <f t="shared" ref="K62:K75" si="10">J62/G62</f>
        <v>33.34688898</v>
      </c>
      <c r="L62" s="30">
        <f t="shared" ref="L62:L75" si="11">G62/7.4</f>
        <v>0.6645945946</v>
      </c>
      <c r="M62" s="34">
        <f t="shared" ref="M62:M75" si="12">7.4-G62</f>
        <v>2.482</v>
      </c>
      <c r="N62" s="36">
        <f t="shared" ref="N62:N75" si="13">M62*40</f>
        <v>99.28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3">
        <v>44704.0</v>
      </c>
      <c r="B63" s="58">
        <v>0.4583333333333333</v>
      </c>
      <c r="C63" s="8" t="s">
        <v>46</v>
      </c>
      <c r="D63" s="8" t="s">
        <v>44</v>
      </c>
      <c r="E63" s="8">
        <v>38950.0</v>
      </c>
      <c r="F63" s="8" t="s">
        <v>116</v>
      </c>
      <c r="G63" s="35">
        <v>3.552</v>
      </c>
      <c r="H63" s="35">
        <v>5.899</v>
      </c>
      <c r="I63" s="12">
        <v>20.95</v>
      </c>
      <c r="J63" s="10">
        <f t="shared" ref="J63:J75" si="14">E63-E62</f>
        <v>169</v>
      </c>
      <c r="K63" s="34">
        <f t="shared" si="10"/>
        <v>47.57882883</v>
      </c>
      <c r="L63" s="30">
        <f t="shared" si="11"/>
        <v>0.48</v>
      </c>
      <c r="M63" s="34">
        <f t="shared" si="12"/>
        <v>3.848</v>
      </c>
      <c r="N63" s="36">
        <f t="shared" si="13"/>
        <v>153.92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33">
        <v>44710.0</v>
      </c>
      <c r="B64" s="58">
        <v>0.4895833333333333</v>
      </c>
      <c r="C64" s="8" t="s">
        <v>97</v>
      </c>
      <c r="D64" s="8" t="s">
        <v>44</v>
      </c>
      <c r="E64" s="8">
        <v>39096.0</v>
      </c>
      <c r="F64" s="8" t="s">
        <v>116</v>
      </c>
      <c r="G64" s="35">
        <v>4.173</v>
      </c>
      <c r="H64" s="35">
        <v>5.859</v>
      </c>
      <c r="I64" s="12">
        <v>24.45</v>
      </c>
      <c r="J64" s="10">
        <f t="shared" si="14"/>
        <v>146</v>
      </c>
      <c r="K64" s="34">
        <f t="shared" si="10"/>
        <v>34.98682003</v>
      </c>
      <c r="L64" s="30">
        <f t="shared" si="11"/>
        <v>0.5639189189</v>
      </c>
      <c r="M64" s="34">
        <f t="shared" si="12"/>
        <v>3.227</v>
      </c>
      <c r="N64" s="36">
        <f t="shared" si="13"/>
        <v>129.08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33">
        <v>44710.0</v>
      </c>
      <c r="B65" s="58">
        <v>0.5923611111111111</v>
      </c>
      <c r="C65" s="8" t="s">
        <v>99</v>
      </c>
      <c r="D65" s="8" t="s">
        <v>44</v>
      </c>
      <c r="E65" s="8">
        <v>39244.0</v>
      </c>
      <c r="F65" s="8" t="s">
        <v>196</v>
      </c>
      <c r="G65" s="35">
        <v>5.219</v>
      </c>
      <c r="H65" s="35">
        <v>7.399</v>
      </c>
      <c r="I65" s="12">
        <v>38.62</v>
      </c>
      <c r="J65" s="10">
        <f t="shared" si="14"/>
        <v>148</v>
      </c>
      <c r="K65" s="34">
        <f t="shared" si="10"/>
        <v>28.35792297</v>
      </c>
      <c r="L65" s="30">
        <f t="shared" si="11"/>
        <v>0.7052702703</v>
      </c>
      <c r="M65" s="34">
        <f t="shared" si="12"/>
        <v>2.181</v>
      </c>
      <c r="N65" s="36">
        <f t="shared" si="13"/>
        <v>87.24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33">
        <v>44711.0</v>
      </c>
      <c r="B66" s="58">
        <v>0.40625</v>
      </c>
      <c r="C66" s="8" t="s">
        <v>82</v>
      </c>
      <c r="D66" s="8" t="s">
        <v>44</v>
      </c>
      <c r="E66" s="8">
        <v>39436.0</v>
      </c>
      <c r="F66" s="8" t="s">
        <v>126</v>
      </c>
      <c r="G66" s="35">
        <v>5.627</v>
      </c>
      <c r="H66" s="35">
        <v>6.199</v>
      </c>
      <c r="I66" s="12">
        <v>34.88</v>
      </c>
      <c r="J66" s="10">
        <f t="shared" si="14"/>
        <v>192</v>
      </c>
      <c r="K66" s="34">
        <f t="shared" si="10"/>
        <v>34.12120135</v>
      </c>
      <c r="L66" s="30">
        <f t="shared" si="11"/>
        <v>0.7604054054</v>
      </c>
      <c r="M66" s="34">
        <f t="shared" si="12"/>
        <v>1.773</v>
      </c>
      <c r="N66" s="36">
        <f t="shared" si="13"/>
        <v>70.92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33">
        <v>44711.0</v>
      </c>
      <c r="B67" s="58">
        <v>0.5138888888888888</v>
      </c>
      <c r="C67" s="8" t="s">
        <v>100</v>
      </c>
      <c r="D67" s="8" t="s">
        <v>44</v>
      </c>
      <c r="E67" s="8">
        <v>39594.0</v>
      </c>
      <c r="F67" s="8" t="s">
        <v>200</v>
      </c>
      <c r="G67" s="35">
        <v>5.558</v>
      </c>
      <c r="H67" s="35">
        <v>6.599</v>
      </c>
      <c r="I67" s="12">
        <v>36.68</v>
      </c>
      <c r="J67" s="10">
        <f t="shared" si="14"/>
        <v>158</v>
      </c>
      <c r="K67" s="34">
        <f t="shared" si="10"/>
        <v>28.4274919</v>
      </c>
      <c r="L67" s="30">
        <f t="shared" si="11"/>
        <v>0.7510810811</v>
      </c>
      <c r="M67" s="34">
        <f t="shared" si="12"/>
        <v>1.842</v>
      </c>
      <c r="N67" s="36">
        <f t="shared" si="13"/>
        <v>73.68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33">
        <v>44712.0</v>
      </c>
      <c r="B68" s="58">
        <v>0.4513888888888889</v>
      </c>
      <c r="C68" s="8" t="s">
        <v>101</v>
      </c>
      <c r="D68" s="8" t="s">
        <v>102</v>
      </c>
      <c r="E68" s="8">
        <v>39820.0</v>
      </c>
      <c r="F68" s="8" t="s">
        <v>126</v>
      </c>
      <c r="G68" s="35">
        <v>5.577</v>
      </c>
      <c r="H68" s="35">
        <v>5.799</v>
      </c>
      <c r="I68" s="12">
        <v>32.34</v>
      </c>
      <c r="J68" s="10">
        <f t="shared" si="14"/>
        <v>226</v>
      </c>
      <c r="K68" s="34">
        <f t="shared" si="10"/>
        <v>40.52357899</v>
      </c>
      <c r="L68" s="30">
        <f t="shared" si="11"/>
        <v>0.7536486486</v>
      </c>
      <c r="M68" s="34">
        <f t="shared" si="12"/>
        <v>1.823</v>
      </c>
      <c r="N68" s="36">
        <f t="shared" si="13"/>
        <v>72.92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33">
        <v>44720.0</v>
      </c>
      <c r="B69" s="58">
        <v>0.44375</v>
      </c>
      <c r="C69" s="8" t="s">
        <v>103</v>
      </c>
      <c r="D69" s="8" t="s">
        <v>102</v>
      </c>
      <c r="E69" s="8">
        <v>40019.0</v>
      </c>
      <c r="F69" s="8" t="s">
        <v>202</v>
      </c>
      <c r="G69" s="35">
        <v>4.674</v>
      </c>
      <c r="H69" s="35">
        <v>6.399</v>
      </c>
      <c r="I69" s="12">
        <v>29.91</v>
      </c>
      <c r="J69" s="10">
        <f t="shared" si="14"/>
        <v>199</v>
      </c>
      <c r="K69" s="34">
        <f t="shared" si="10"/>
        <v>42.57595208</v>
      </c>
      <c r="L69" s="30">
        <f t="shared" si="11"/>
        <v>0.6316216216</v>
      </c>
      <c r="M69" s="34">
        <f t="shared" si="12"/>
        <v>2.726</v>
      </c>
      <c r="N69" s="36">
        <f t="shared" si="13"/>
        <v>109.04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33">
        <v>44723.0</v>
      </c>
      <c r="B70" s="58">
        <v>0.47430555555555554</v>
      </c>
      <c r="C70" s="8" t="s">
        <v>104</v>
      </c>
      <c r="D70" s="8" t="s">
        <v>102</v>
      </c>
      <c r="E70" s="8">
        <v>40200.0</v>
      </c>
      <c r="F70" s="8" t="s">
        <v>196</v>
      </c>
      <c r="G70" s="35">
        <v>4.329</v>
      </c>
      <c r="H70" s="35">
        <v>5.939</v>
      </c>
      <c r="I70" s="12">
        <v>25.71</v>
      </c>
      <c r="J70" s="10">
        <f t="shared" si="14"/>
        <v>181</v>
      </c>
      <c r="K70" s="34">
        <f t="shared" si="10"/>
        <v>41.81104181</v>
      </c>
      <c r="L70" s="30">
        <f t="shared" si="11"/>
        <v>0.585</v>
      </c>
      <c r="M70" s="34">
        <f t="shared" si="12"/>
        <v>3.071</v>
      </c>
      <c r="N70" s="36">
        <f t="shared" si="13"/>
        <v>122.84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33">
        <v>44724.0</v>
      </c>
      <c r="B71" s="58">
        <v>0.35138888888888886</v>
      </c>
      <c r="C71" s="8" t="s">
        <v>105</v>
      </c>
      <c r="D71" s="8" t="s">
        <v>44</v>
      </c>
      <c r="E71" s="8">
        <v>40329.0</v>
      </c>
      <c r="F71" s="8" t="s">
        <v>205</v>
      </c>
      <c r="G71" s="35">
        <v>2.927</v>
      </c>
      <c r="H71" s="35">
        <v>6.899</v>
      </c>
      <c r="I71" s="12">
        <v>20.19</v>
      </c>
      <c r="J71" s="10">
        <f t="shared" si="14"/>
        <v>129</v>
      </c>
      <c r="K71" s="34">
        <f t="shared" si="10"/>
        <v>44.07242911</v>
      </c>
      <c r="L71" s="30">
        <f t="shared" si="11"/>
        <v>0.3955405405</v>
      </c>
      <c r="M71" s="34">
        <f t="shared" si="12"/>
        <v>4.473</v>
      </c>
      <c r="N71" s="36">
        <f t="shared" si="13"/>
        <v>178.92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33">
        <v>44724.0</v>
      </c>
      <c r="B72" s="58">
        <v>0.5548611111111111</v>
      </c>
      <c r="C72" s="8" t="s">
        <v>106</v>
      </c>
      <c r="D72" s="8" t="s">
        <v>44</v>
      </c>
      <c r="E72" s="8">
        <v>40483.0</v>
      </c>
      <c r="F72" s="8" t="s">
        <v>206</v>
      </c>
      <c r="G72" s="35">
        <v>4.2</v>
      </c>
      <c r="H72" s="35">
        <v>6.9</v>
      </c>
      <c r="I72" s="12">
        <v>28.98</v>
      </c>
      <c r="J72" s="10">
        <f t="shared" si="14"/>
        <v>154</v>
      </c>
      <c r="K72" s="34">
        <f t="shared" si="10"/>
        <v>36.66666667</v>
      </c>
      <c r="L72" s="30">
        <f t="shared" si="11"/>
        <v>0.5675675676</v>
      </c>
      <c r="M72" s="34">
        <f t="shared" si="12"/>
        <v>3.2</v>
      </c>
      <c r="N72" s="36">
        <f t="shared" si="13"/>
        <v>128</v>
      </c>
      <c r="O72" s="8" t="s">
        <v>207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33">
        <v>44725.0</v>
      </c>
      <c r="B73" s="58">
        <v>0.34305555555555556</v>
      </c>
      <c r="C73" s="8" t="s">
        <v>107</v>
      </c>
      <c r="D73" s="8" t="s">
        <v>44</v>
      </c>
      <c r="E73" s="8">
        <v>40634.0</v>
      </c>
      <c r="F73" s="8" t="s">
        <v>209</v>
      </c>
      <c r="G73" s="35">
        <v>2.887</v>
      </c>
      <c r="H73" s="35">
        <v>7.099</v>
      </c>
      <c r="I73" s="12">
        <v>20.49</v>
      </c>
      <c r="J73" s="10">
        <f t="shared" si="14"/>
        <v>151</v>
      </c>
      <c r="K73" s="34">
        <f t="shared" si="10"/>
        <v>52.30342917</v>
      </c>
      <c r="L73" s="30">
        <f t="shared" si="11"/>
        <v>0.3901351351</v>
      </c>
      <c r="M73" s="34">
        <f t="shared" si="12"/>
        <v>4.513</v>
      </c>
      <c r="N73" s="36">
        <f t="shared" si="13"/>
        <v>180.52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3">
        <v>44725.0</v>
      </c>
      <c r="B74" s="58">
        <v>0.5722222222222222</v>
      </c>
      <c r="C74" s="8" t="s">
        <v>108</v>
      </c>
      <c r="D74" s="8" t="s">
        <v>44</v>
      </c>
      <c r="E74" s="8">
        <v>40776.0</v>
      </c>
      <c r="F74" s="8" t="s">
        <v>116</v>
      </c>
      <c r="G74" s="35">
        <v>2.714</v>
      </c>
      <c r="H74" s="35">
        <v>6.299</v>
      </c>
      <c r="I74" s="12">
        <v>17.1</v>
      </c>
      <c r="J74" s="10">
        <f t="shared" si="14"/>
        <v>142</v>
      </c>
      <c r="K74" s="34">
        <f t="shared" si="10"/>
        <v>52.32129698</v>
      </c>
      <c r="L74" s="30">
        <f t="shared" si="11"/>
        <v>0.3667567568</v>
      </c>
      <c r="M74" s="34">
        <f t="shared" si="12"/>
        <v>4.686</v>
      </c>
      <c r="N74" s="36">
        <f t="shared" si="13"/>
        <v>187.44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33">
        <v>44726.0</v>
      </c>
      <c r="B75" s="58">
        <v>0.4041666666666667</v>
      </c>
      <c r="C75" s="8" t="s">
        <v>110</v>
      </c>
      <c r="D75" s="8" t="s">
        <v>44</v>
      </c>
      <c r="E75" s="8">
        <v>40953.0</v>
      </c>
      <c r="F75" s="8" t="s">
        <v>196</v>
      </c>
      <c r="G75" s="35">
        <v>5.287</v>
      </c>
      <c r="H75" s="35">
        <v>6.899</v>
      </c>
      <c r="I75" s="12">
        <v>36.48</v>
      </c>
      <c r="J75" s="10">
        <f t="shared" si="14"/>
        <v>177</v>
      </c>
      <c r="K75" s="34">
        <f t="shared" si="10"/>
        <v>33.47834311</v>
      </c>
      <c r="L75" s="30">
        <f t="shared" si="11"/>
        <v>0.7144594595</v>
      </c>
      <c r="M75" s="34">
        <f t="shared" si="12"/>
        <v>2.113</v>
      </c>
      <c r="N75" s="36">
        <f t="shared" si="13"/>
        <v>84.52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35" t="str">
        <f t="shared" ref="G76:K76" si="15">G57</f>
        <v>Gal</v>
      </c>
      <c r="H76" s="35" t="str">
        <f t="shared" si="15"/>
        <v>$/Gal</v>
      </c>
      <c r="I76" s="12" t="str">
        <f t="shared" si="15"/>
        <v>$</v>
      </c>
      <c r="J76" s="35" t="str">
        <f t="shared" si="15"/>
        <v>Miles</v>
      </c>
      <c r="K76" s="35" t="str">
        <f t="shared" si="15"/>
        <v>Miles/Gal</v>
      </c>
      <c r="L76" s="10"/>
      <c r="M76" s="10"/>
      <c r="N76" s="6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8" t="s">
        <v>171</v>
      </c>
      <c r="G77" s="39">
        <f>SUM(G60:G76)</f>
        <v>61.642</v>
      </c>
      <c r="H77" s="39"/>
      <c r="I77" s="60">
        <f t="shared" ref="I77:J77" si="16">SUM(I60:I76)</f>
        <v>395.59</v>
      </c>
      <c r="J77" s="63">
        <f t="shared" si="16"/>
        <v>2336</v>
      </c>
      <c r="K77" s="34"/>
      <c r="L77" s="10"/>
      <c r="M77" s="10"/>
      <c r="N77" s="6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8" t="s">
        <v>178</v>
      </c>
      <c r="G78" s="39">
        <f t="shared" ref="G78:K78" si="17">AVERAGE(G60:G76)</f>
        <v>4.403</v>
      </c>
      <c r="H78" s="39">
        <f t="shared" si="17"/>
        <v>6.431928571</v>
      </c>
      <c r="I78" s="60">
        <f t="shared" si="17"/>
        <v>28.25642857</v>
      </c>
      <c r="J78" s="34">
        <f t="shared" si="17"/>
        <v>166.8571429</v>
      </c>
      <c r="K78" s="34">
        <f t="shared" si="17"/>
        <v>39.32656371</v>
      </c>
      <c r="L78" s="10"/>
      <c r="M78" s="10"/>
      <c r="N78" s="6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39"/>
      <c r="H79" s="39"/>
      <c r="I79" s="60"/>
      <c r="J79" s="10"/>
      <c r="K79" s="34"/>
      <c r="L79" s="10"/>
      <c r="M79" s="10"/>
      <c r="N79" s="6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39"/>
      <c r="H80" s="39"/>
      <c r="I80" s="60"/>
      <c r="J80" s="10"/>
      <c r="K80" s="34"/>
      <c r="L80" s="10"/>
      <c r="M80" s="10"/>
      <c r="N80" s="6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 t="str">
        <f t="shared" ref="A81:O81" si="18">A1</f>
        <v>Date</v>
      </c>
      <c r="B81" s="10" t="str">
        <f t="shared" si="18"/>
        <v>Time</v>
      </c>
      <c r="C81" s="10" t="str">
        <f t="shared" si="18"/>
        <v>City</v>
      </c>
      <c r="D81" s="10" t="str">
        <f t="shared" si="18"/>
        <v>State</v>
      </c>
      <c r="E81" s="10" t="str">
        <f t="shared" si="18"/>
        <v>Mileage</v>
      </c>
      <c r="F81" s="10" t="str">
        <f t="shared" si="18"/>
        <v>Brand</v>
      </c>
      <c r="G81" s="39" t="str">
        <f t="shared" si="18"/>
        <v>Gallons</v>
      </c>
      <c r="H81" s="39" t="str">
        <f t="shared" si="18"/>
        <v>Dollars/gallon</v>
      </c>
      <c r="I81" s="60" t="str">
        <f t="shared" si="18"/>
        <v>Cost</v>
      </c>
      <c r="J81" s="10" t="str">
        <f t="shared" si="18"/>
        <v>Distance</v>
      </c>
      <c r="K81" s="34" t="str">
        <f t="shared" si="18"/>
        <v>MPG</v>
      </c>
      <c r="L81" s="10" t="str">
        <f t="shared" si="18"/>
        <v>% of 7.4G</v>
      </c>
      <c r="M81" s="10" t="str">
        <f t="shared" si="18"/>
        <v>Gal in Tank</v>
      </c>
      <c r="N81" s="60" t="str">
        <f t="shared" si="18"/>
        <v>Miles Left</v>
      </c>
      <c r="O81" s="10" t="str">
        <f t="shared" si="18"/>
        <v>Liters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33">
        <v>44865.0</v>
      </c>
      <c r="B82" s="58">
        <v>0.6527777777777778</v>
      </c>
      <c r="C82" s="8" t="s">
        <v>46</v>
      </c>
      <c r="D82" s="8" t="s">
        <v>44</v>
      </c>
      <c r="E82" s="8">
        <v>41166.0</v>
      </c>
      <c r="F82" s="8" t="s">
        <v>116</v>
      </c>
      <c r="G82" s="35">
        <v>4.21</v>
      </c>
      <c r="H82" s="35">
        <v>5.299</v>
      </c>
      <c r="I82" s="12">
        <v>22.31</v>
      </c>
      <c r="J82" s="10">
        <f>E82-E75</f>
        <v>213</v>
      </c>
      <c r="K82" s="34">
        <f t="shared" ref="K82:K103" si="19">J82/G82</f>
        <v>50.59382423</v>
      </c>
      <c r="L82" s="30">
        <f t="shared" ref="L82:L103" si="20">G82/7.4</f>
        <v>0.5689189189</v>
      </c>
      <c r="M82" s="34">
        <f t="shared" ref="M82:M103" si="21">7.4-G82</f>
        <v>3.19</v>
      </c>
      <c r="N82" s="36">
        <f t="shared" ref="N82:N103" si="22">M82*40</f>
        <v>127.6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33">
        <v>44866.0</v>
      </c>
      <c r="B83" s="58">
        <v>0.4777777777777778</v>
      </c>
      <c r="C83" s="8" t="s">
        <v>224</v>
      </c>
      <c r="D83" s="8" t="s">
        <v>44</v>
      </c>
      <c r="E83" s="8">
        <v>41312.0</v>
      </c>
      <c r="F83" s="8" t="s">
        <v>196</v>
      </c>
      <c r="G83" s="35">
        <v>4.346</v>
      </c>
      <c r="H83" s="35">
        <v>6.199</v>
      </c>
      <c r="I83" s="12">
        <v>26.94</v>
      </c>
      <c r="J83" s="10">
        <f t="shared" ref="J83:J103" si="23">E83-E82</f>
        <v>146</v>
      </c>
      <c r="K83" s="34">
        <f t="shared" si="19"/>
        <v>33.59410953</v>
      </c>
      <c r="L83" s="30">
        <f t="shared" si="20"/>
        <v>0.5872972973</v>
      </c>
      <c r="M83" s="34">
        <f t="shared" si="21"/>
        <v>3.054</v>
      </c>
      <c r="N83" s="36">
        <f t="shared" si="22"/>
        <v>122.16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33">
        <v>44867.0</v>
      </c>
      <c r="B84" s="58">
        <v>0.46458333333333335</v>
      </c>
      <c r="C84" s="8" t="s">
        <v>227</v>
      </c>
      <c r="D84" s="8" t="s">
        <v>44</v>
      </c>
      <c r="E84" s="8">
        <v>41514.0</v>
      </c>
      <c r="F84" s="8" t="s">
        <v>196</v>
      </c>
      <c r="G84" s="35">
        <v>5.067</v>
      </c>
      <c r="H84" s="35">
        <v>6.199</v>
      </c>
      <c r="I84" s="12">
        <v>31.41</v>
      </c>
      <c r="J84" s="10">
        <f t="shared" si="23"/>
        <v>202</v>
      </c>
      <c r="K84" s="34">
        <f t="shared" si="19"/>
        <v>39.8657983</v>
      </c>
      <c r="L84" s="30">
        <f t="shared" si="20"/>
        <v>0.6847297297</v>
      </c>
      <c r="M84" s="34">
        <f t="shared" si="21"/>
        <v>2.333</v>
      </c>
      <c r="N84" s="36">
        <f t="shared" si="22"/>
        <v>93.32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33">
        <v>44868.0</v>
      </c>
      <c r="B85" s="58">
        <v>0.3875</v>
      </c>
      <c r="C85" s="8" t="s">
        <v>146</v>
      </c>
      <c r="D85" s="8" t="s">
        <v>44</v>
      </c>
      <c r="E85" s="8">
        <v>41720.0</v>
      </c>
      <c r="F85" s="8" t="s">
        <v>196</v>
      </c>
      <c r="G85" s="35">
        <v>5.477</v>
      </c>
      <c r="H85" s="35">
        <v>5.999</v>
      </c>
      <c r="I85" s="12">
        <v>32.86</v>
      </c>
      <c r="J85" s="10">
        <f t="shared" si="23"/>
        <v>206</v>
      </c>
      <c r="K85" s="34">
        <f t="shared" si="19"/>
        <v>37.61183129</v>
      </c>
      <c r="L85" s="30">
        <f t="shared" si="20"/>
        <v>0.7401351351</v>
      </c>
      <c r="M85" s="34">
        <f t="shared" si="21"/>
        <v>1.923</v>
      </c>
      <c r="N85" s="36">
        <f t="shared" si="22"/>
        <v>76.92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33">
        <v>44868.0</v>
      </c>
      <c r="B86" s="58">
        <v>0.5645833333333333</v>
      </c>
      <c r="C86" s="8" t="s">
        <v>233</v>
      </c>
      <c r="D86" s="8" t="s">
        <v>44</v>
      </c>
      <c r="E86" s="8">
        <v>41910.0</v>
      </c>
      <c r="F86" s="8" t="s">
        <v>235</v>
      </c>
      <c r="G86" s="35">
        <v>3.872</v>
      </c>
      <c r="H86" s="35">
        <v>6.095</v>
      </c>
      <c r="I86" s="12">
        <v>23.46</v>
      </c>
      <c r="J86" s="10">
        <f t="shared" si="23"/>
        <v>190</v>
      </c>
      <c r="K86" s="34">
        <f t="shared" si="19"/>
        <v>49.07024793</v>
      </c>
      <c r="L86" s="30">
        <f t="shared" si="20"/>
        <v>0.5232432432</v>
      </c>
      <c r="M86" s="34">
        <f t="shared" si="21"/>
        <v>3.528</v>
      </c>
      <c r="N86" s="36">
        <f t="shared" si="22"/>
        <v>141.12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33">
        <v>44869.0</v>
      </c>
      <c r="B87" s="58">
        <v>0.625</v>
      </c>
      <c r="C87" s="8" t="s">
        <v>148</v>
      </c>
      <c r="D87" s="8" t="s">
        <v>44</v>
      </c>
      <c r="E87" s="8">
        <v>42051.0</v>
      </c>
      <c r="F87" s="8" t="s">
        <v>196</v>
      </c>
      <c r="G87" s="35">
        <v>3.511</v>
      </c>
      <c r="H87" s="35">
        <v>6.219</v>
      </c>
      <c r="I87" s="12">
        <v>21.83</v>
      </c>
      <c r="J87" s="10">
        <f t="shared" si="23"/>
        <v>141</v>
      </c>
      <c r="K87" s="34">
        <f t="shared" si="19"/>
        <v>40.15949872</v>
      </c>
      <c r="L87" s="30">
        <f t="shared" si="20"/>
        <v>0.4744594595</v>
      </c>
      <c r="M87" s="34">
        <f t="shared" si="21"/>
        <v>3.889</v>
      </c>
      <c r="N87" s="36">
        <f t="shared" si="22"/>
        <v>155.56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33">
        <v>44870.0</v>
      </c>
      <c r="B88" s="58">
        <v>0.5194444444444445</v>
      </c>
      <c r="C88" s="8" t="s">
        <v>236</v>
      </c>
      <c r="D88" s="8" t="s">
        <v>102</v>
      </c>
      <c r="E88" s="8">
        <v>42194.0</v>
      </c>
      <c r="F88" s="8" t="s">
        <v>196</v>
      </c>
      <c r="G88" s="35">
        <v>4.128</v>
      </c>
      <c r="H88" s="35">
        <v>5.559</v>
      </c>
      <c r="I88" s="12">
        <v>22.95</v>
      </c>
      <c r="J88" s="10">
        <f t="shared" si="23"/>
        <v>143</v>
      </c>
      <c r="K88" s="34">
        <f t="shared" si="19"/>
        <v>34.64147287</v>
      </c>
      <c r="L88" s="30">
        <f t="shared" si="20"/>
        <v>0.5578378378</v>
      </c>
      <c r="M88" s="34">
        <f t="shared" si="21"/>
        <v>3.272</v>
      </c>
      <c r="N88" s="36">
        <f t="shared" si="22"/>
        <v>130.88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33">
        <v>44872.0</v>
      </c>
      <c r="B89" s="58">
        <v>0.4638888888888889</v>
      </c>
      <c r="C89" s="8" t="s">
        <v>239</v>
      </c>
      <c r="D89" s="8" t="s">
        <v>102</v>
      </c>
      <c r="E89" s="8">
        <v>42379.0</v>
      </c>
      <c r="F89" s="8" t="s">
        <v>209</v>
      </c>
      <c r="G89" s="35">
        <v>4.132</v>
      </c>
      <c r="H89" s="35">
        <v>5.139</v>
      </c>
      <c r="I89" s="12">
        <v>21.23</v>
      </c>
      <c r="J89" s="10">
        <f t="shared" si="23"/>
        <v>185</v>
      </c>
      <c r="K89" s="34">
        <f t="shared" si="19"/>
        <v>44.77250726</v>
      </c>
      <c r="L89" s="30">
        <f t="shared" si="20"/>
        <v>0.5583783784</v>
      </c>
      <c r="M89" s="34">
        <f t="shared" si="21"/>
        <v>3.268</v>
      </c>
      <c r="N89" s="36">
        <f t="shared" si="22"/>
        <v>130.72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33">
        <v>44872.0</v>
      </c>
      <c r="B90" s="58">
        <v>0.75</v>
      </c>
      <c r="C90" s="8" t="s">
        <v>240</v>
      </c>
      <c r="D90" s="8" t="s">
        <v>102</v>
      </c>
      <c r="E90" s="8">
        <v>42568.0</v>
      </c>
      <c r="F90" s="8" t="s">
        <v>112</v>
      </c>
      <c r="G90" s="35">
        <v>4.174</v>
      </c>
      <c r="H90" s="35">
        <v>5.499</v>
      </c>
      <c r="I90" s="12">
        <v>22.95</v>
      </c>
      <c r="J90" s="10">
        <f t="shared" si="23"/>
        <v>189</v>
      </c>
      <c r="K90" s="34">
        <f t="shared" si="19"/>
        <v>45.28030666</v>
      </c>
      <c r="L90" s="30">
        <f t="shared" si="20"/>
        <v>0.5640540541</v>
      </c>
      <c r="M90" s="34">
        <f t="shared" si="21"/>
        <v>3.226</v>
      </c>
      <c r="N90" s="36">
        <f t="shared" si="22"/>
        <v>129.04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33">
        <v>44873.0</v>
      </c>
      <c r="B91" s="58">
        <v>0.42430555555555555</v>
      </c>
      <c r="C91" s="8" t="s">
        <v>242</v>
      </c>
      <c r="D91" s="8" t="s">
        <v>151</v>
      </c>
      <c r="E91" s="8">
        <v>42692.0</v>
      </c>
      <c r="F91" s="8" t="s">
        <v>196</v>
      </c>
      <c r="G91" s="35">
        <v>2.641</v>
      </c>
      <c r="H91" s="35">
        <v>5.449</v>
      </c>
      <c r="I91" s="12">
        <v>14.39</v>
      </c>
      <c r="J91" s="10">
        <f t="shared" si="23"/>
        <v>124</v>
      </c>
      <c r="K91" s="34">
        <f t="shared" si="19"/>
        <v>46.95191215</v>
      </c>
      <c r="L91" s="30">
        <f t="shared" si="20"/>
        <v>0.3568918919</v>
      </c>
      <c r="M91" s="34">
        <f t="shared" si="21"/>
        <v>4.759</v>
      </c>
      <c r="N91" s="36">
        <f t="shared" si="22"/>
        <v>190.36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33">
        <v>44873.0</v>
      </c>
      <c r="B92" s="58">
        <v>0.69375</v>
      </c>
      <c r="C92" s="8" t="s">
        <v>153</v>
      </c>
      <c r="D92" s="8" t="s">
        <v>151</v>
      </c>
      <c r="E92" s="8">
        <v>42852.0</v>
      </c>
      <c r="F92" s="8" t="s">
        <v>112</v>
      </c>
      <c r="G92" s="35">
        <v>3.993</v>
      </c>
      <c r="H92" s="35">
        <v>5.399</v>
      </c>
      <c r="I92" s="12">
        <v>21.57</v>
      </c>
      <c r="J92" s="10">
        <f t="shared" si="23"/>
        <v>160</v>
      </c>
      <c r="K92" s="34">
        <f t="shared" si="19"/>
        <v>40.07012271</v>
      </c>
      <c r="L92" s="30">
        <f t="shared" si="20"/>
        <v>0.5395945946</v>
      </c>
      <c r="M92" s="34">
        <f t="shared" si="21"/>
        <v>3.407</v>
      </c>
      <c r="N92" s="36">
        <f t="shared" si="22"/>
        <v>136.28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33">
        <v>44881.0</v>
      </c>
      <c r="B93" s="58">
        <v>0.4409722222222222</v>
      </c>
      <c r="C93" s="8" t="s">
        <v>248</v>
      </c>
      <c r="D93" s="8" t="s">
        <v>151</v>
      </c>
      <c r="E93" s="8">
        <v>43048.0</v>
      </c>
      <c r="F93" s="8" t="s">
        <v>116</v>
      </c>
      <c r="G93" s="35">
        <v>4.537</v>
      </c>
      <c r="H93" s="35">
        <v>4.759</v>
      </c>
      <c r="I93" s="12">
        <v>21.59</v>
      </c>
      <c r="J93" s="10">
        <f t="shared" si="23"/>
        <v>196</v>
      </c>
      <c r="K93" s="34">
        <f t="shared" si="19"/>
        <v>43.20035266</v>
      </c>
      <c r="L93" s="30">
        <f t="shared" si="20"/>
        <v>0.6131081081</v>
      </c>
      <c r="M93" s="34">
        <f t="shared" si="21"/>
        <v>2.863</v>
      </c>
      <c r="N93" s="36">
        <f t="shared" si="22"/>
        <v>114.52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33">
        <v>44882.0</v>
      </c>
      <c r="B94" s="58">
        <v>0.6173611111111111</v>
      </c>
      <c r="C94" s="8" t="s">
        <v>250</v>
      </c>
      <c r="D94" s="8" t="s">
        <v>151</v>
      </c>
      <c r="E94" s="8">
        <v>43207.0</v>
      </c>
      <c r="F94" s="8" t="s">
        <v>112</v>
      </c>
      <c r="G94" s="35">
        <v>3.594</v>
      </c>
      <c r="H94" s="35">
        <v>5.699</v>
      </c>
      <c r="I94" s="12">
        <v>20.48</v>
      </c>
      <c r="J94" s="10">
        <f t="shared" si="23"/>
        <v>159</v>
      </c>
      <c r="K94" s="34">
        <f t="shared" si="19"/>
        <v>44.24040067</v>
      </c>
      <c r="L94" s="30">
        <f t="shared" si="20"/>
        <v>0.4856756757</v>
      </c>
      <c r="M94" s="34">
        <f t="shared" si="21"/>
        <v>3.806</v>
      </c>
      <c r="N94" s="36">
        <f t="shared" si="22"/>
        <v>152.24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33">
        <v>44884.0</v>
      </c>
      <c r="B95" s="58">
        <v>0.5048611111111111</v>
      </c>
      <c r="C95" s="8" t="s">
        <v>252</v>
      </c>
      <c r="D95" s="8" t="s">
        <v>151</v>
      </c>
      <c r="E95" s="8">
        <v>43369.0</v>
      </c>
      <c r="F95" s="8" t="s">
        <v>254</v>
      </c>
      <c r="G95" s="35">
        <v>4.225</v>
      </c>
      <c r="H95" s="35">
        <v>4.459</v>
      </c>
      <c r="I95" s="12">
        <v>18.84</v>
      </c>
      <c r="J95" s="10">
        <f t="shared" si="23"/>
        <v>162</v>
      </c>
      <c r="K95" s="34">
        <f t="shared" si="19"/>
        <v>38.34319527</v>
      </c>
      <c r="L95" s="30">
        <f t="shared" si="20"/>
        <v>0.5709459459</v>
      </c>
      <c r="M95" s="34">
        <f t="shared" si="21"/>
        <v>3.175</v>
      </c>
      <c r="N95" s="36">
        <f t="shared" si="22"/>
        <v>127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3">
        <v>44886.0</v>
      </c>
      <c r="B96" s="58">
        <v>0.5659722222222222</v>
      </c>
      <c r="C96" s="8" t="s">
        <v>156</v>
      </c>
      <c r="D96" s="8" t="s">
        <v>151</v>
      </c>
      <c r="E96" s="8">
        <v>43578.0</v>
      </c>
      <c r="F96" s="8" t="s">
        <v>254</v>
      </c>
      <c r="G96" s="35">
        <v>4.787</v>
      </c>
      <c r="H96" s="35">
        <v>4.499</v>
      </c>
      <c r="I96" s="12">
        <v>21.54</v>
      </c>
      <c r="J96" s="10">
        <f t="shared" si="23"/>
        <v>209</v>
      </c>
      <c r="K96" s="34">
        <f t="shared" si="19"/>
        <v>43.65991226</v>
      </c>
      <c r="L96" s="30">
        <f t="shared" si="20"/>
        <v>0.6468918919</v>
      </c>
      <c r="M96" s="34">
        <f t="shared" si="21"/>
        <v>2.613</v>
      </c>
      <c r="N96" s="36">
        <f t="shared" si="22"/>
        <v>104.52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3">
        <v>44889.0</v>
      </c>
      <c r="B97" s="58">
        <v>0.34652777777777777</v>
      </c>
      <c r="C97" s="8" t="s">
        <v>255</v>
      </c>
      <c r="D97" s="8" t="s">
        <v>151</v>
      </c>
      <c r="E97" s="8">
        <v>43785.0</v>
      </c>
      <c r="F97" s="8" t="s">
        <v>112</v>
      </c>
      <c r="G97" s="35">
        <v>5.189</v>
      </c>
      <c r="H97" s="35">
        <v>5.339</v>
      </c>
      <c r="I97" s="12">
        <v>27.7</v>
      </c>
      <c r="J97" s="10">
        <f t="shared" si="23"/>
        <v>207</v>
      </c>
      <c r="K97" s="34">
        <f t="shared" si="19"/>
        <v>39.8920794</v>
      </c>
      <c r="L97" s="30">
        <f t="shared" si="20"/>
        <v>0.7012162162</v>
      </c>
      <c r="M97" s="34">
        <f t="shared" si="21"/>
        <v>2.211</v>
      </c>
      <c r="N97" s="36">
        <f t="shared" si="22"/>
        <v>88.44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3">
        <v>44889.0</v>
      </c>
      <c r="B98" s="58">
        <v>0.49444444444444446</v>
      </c>
      <c r="C98" s="8" t="s">
        <v>256</v>
      </c>
      <c r="D98" s="8" t="s">
        <v>102</v>
      </c>
      <c r="E98" s="8">
        <v>43995.0</v>
      </c>
      <c r="F98" s="8" t="s">
        <v>196</v>
      </c>
      <c r="G98" s="35">
        <v>5.262</v>
      </c>
      <c r="H98" s="35">
        <v>5.399</v>
      </c>
      <c r="I98" s="12">
        <v>28.41</v>
      </c>
      <c r="J98" s="10">
        <f t="shared" si="23"/>
        <v>210</v>
      </c>
      <c r="K98" s="34">
        <f t="shared" si="19"/>
        <v>39.90877993</v>
      </c>
      <c r="L98" s="30">
        <f t="shared" si="20"/>
        <v>0.7110810811</v>
      </c>
      <c r="M98" s="34">
        <f t="shared" si="21"/>
        <v>2.138</v>
      </c>
      <c r="N98" s="36">
        <f t="shared" si="22"/>
        <v>85.52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3">
        <v>44890.0</v>
      </c>
      <c r="B99" s="58">
        <v>0.48055555555555557</v>
      </c>
      <c r="C99" s="8" t="s">
        <v>101</v>
      </c>
      <c r="D99" s="8" t="s">
        <v>102</v>
      </c>
      <c r="E99" s="8">
        <v>44196.0</v>
      </c>
      <c r="F99" s="8" t="s">
        <v>126</v>
      </c>
      <c r="G99" s="35">
        <v>4.785</v>
      </c>
      <c r="H99" s="35">
        <v>4.599</v>
      </c>
      <c r="I99" s="12">
        <v>22.01</v>
      </c>
      <c r="J99" s="10">
        <f t="shared" si="23"/>
        <v>201</v>
      </c>
      <c r="K99" s="34">
        <f t="shared" si="19"/>
        <v>42.00626959</v>
      </c>
      <c r="L99" s="30">
        <f t="shared" si="20"/>
        <v>0.6466216216</v>
      </c>
      <c r="M99" s="34">
        <f t="shared" si="21"/>
        <v>2.615</v>
      </c>
      <c r="N99" s="36">
        <f t="shared" si="22"/>
        <v>104.6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33">
        <v>44890.0</v>
      </c>
      <c r="B100" s="58">
        <v>0.6604166666666667</v>
      </c>
      <c r="C100" s="8" t="s">
        <v>158</v>
      </c>
      <c r="D100" s="8" t="s">
        <v>44</v>
      </c>
      <c r="E100" s="8">
        <v>44433.0</v>
      </c>
      <c r="F100" s="8" t="s">
        <v>196</v>
      </c>
      <c r="G100" s="35">
        <v>5.761</v>
      </c>
      <c r="H100" s="35">
        <v>5.299</v>
      </c>
      <c r="I100" s="12">
        <v>30.53</v>
      </c>
      <c r="J100" s="10">
        <f t="shared" si="23"/>
        <v>237</v>
      </c>
      <c r="K100" s="34">
        <f t="shared" si="19"/>
        <v>41.1386912</v>
      </c>
      <c r="L100" s="30">
        <f t="shared" si="20"/>
        <v>0.7785135135</v>
      </c>
      <c r="M100" s="34">
        <f t="shared" si="21"/>
        <v>1.639</v>
      </c>
      <c r="N100" s="36">
        <f t="shared" si="22"/>
        <v>65.56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33">
        <v>44891.0</v>
      </c>
      <c r="B101" s="58">
        <v>0.4625</v>
      </c>
      <c r="C101" s="8" t="s">
        <v>262</v>
      </c>
      <c r="D101" s="8" t="s">
        <v>44</v>
      </c>
      <c r="E101" s="8">
        <v>44637.0</v>
      </c>
      <c r="F101" s="8" t="s">
        <v>196</v>
      </c>
      <c r="G101" s="35">
        <v>4.823</v>
      </c>
      <c r="H101" s="35">
        <v>5.799</v>
      </c>
      <c r="I101" s="12">
        <v>27.97</v>
      </c>
      <c r="J101" s="10">
        <f t="shared" si="23"/>
        <v>204</v>
      </c>
      <c r="K101" s="34">
        <f t="shared" si="19"/>
        <v>42.29732532</v>
      </c>
      <c r="L101" s="30">
        <f t="shared" si="20"/>
        <v>0.6517567568</v>
      </c>
      <c r="M101" s="34">
        <f t="shared" si="21"/>
        <v>2.577</v>
      </c>
      <c r="N101" s="36">
        <f t="shared" si="22"/>
        <v>103.08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3">
        <v>44892.0</v>
      </c>
      <c r="B102" s="58">
        <v>0.3784722222222222</v>
      </c>
      <c r="C102" s="8" t="s">
        <v>160</v>
      </c>
      <c r="D102" s="8" t="s">
        <v>44</v>
      </c>
      <c r="E102" s="8">
        <v>44843.0</v>
      </c>
      <c r="F102" s="8" t="s">
        <v>123</v>
      </c>
      <c r="G102" s="35">
        <v>4.418</v>
      </c>
      <c r="H102" s="35">
        <v>5.299</v>
      </c>
      <c r="I102" s="12">
        <v>23.41</v>
      </c>
      <c r="J102" s="10">
        <f t="shared" si="23"/>
        <v>206</v>
      </c>
      <c r="K102" s="34">
        <f t="shared" si="19"/>
        <v>46.62743323</v>
      </c>
      <c r="L102" s="30">
        <f t="shared" si="20"/>
        <v>0.597027027</v>
      </c>
      <c r="M102" s="34">
        <f t="shared" si="21"/>
        <v>2.982</v>
      </c>
      <c r="N102" s="36">
        <f t="shared" si="22"/>
        <v>119.28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33">
        <v>44892.0</v>
      </c>
      <c r="B103" s="58">
        <v>0.5020833333333333</v>
      </c>
      <c r="C103" s="8" t="s">
        <v>263</v>
      </c>
      <c r="D103" s="8" t="s">
        <v>44</v>
      </c>
      <c r="E103" s="8">
        <v>45013.0</v>
      </c>
      <c r="F103" s="8" t="s">
        <v>116</v>
      </c>
      <c r="G103" s="35">
        <v>4.399</v>
      </c>
      <c r="H103" s="35">
        <v>4.399</v>
      </c>
      <c r="I103" s="12">
        <v>17.59</v>
      </c>
      <c r="J103" s="10">
        <f t="shared" si="23"/>
        <v>170</v>
      </c>
      <c r="K103" s="34">
        <f t="shared" si="19"/>
        <v>38.64514662</v>
      </c>
      <c r="L103" s="30">
        <f t="shared" si="20"/>
        <v>0.5944594595</v>
      </c>
      <c r="M103" s="34">
        <f t="shared" si="21"/>
        <v>3.001</v>
      </c>
      <c r="N103" s="36">
        <f t="shared" si="22"/>
        <v>120.04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39"/>
      <c r="H104" s="39"/>
      <c r="I104" s="60"/>
      <c r="J104" s="10"/>
      <c r="K104" s="34"/>
      <c r="L104" s="10"/>
      <c r="M104" s="10"/>
      <c r="N104" s="6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39" t="str">
        <f t="shared" ref="G105:N105" si="24">G81</f>
        <v>Gallons</v>
      </c>
      <c r="H105" s="39" t="str">
        <f t="shared" si="24"/>
        <v>Dollars/gallon</v>
      </c>
      <c r="I105" s="60" t="str">
        <f t="shared" si="24"/>
        <v>Cost</v>
      </c>
      <c r="J105" s="39" t="str">
        <f t="shared" si="24"/>
        <v>Distance</v>
      </c>
      <c r="K105" s="39" t="str">
        <f t="shared" si="24"/>
        <v>MPG</v>
      </c>
      <c r="L105" s="39" t="str">
        <f t="shared" si="24"/>
        <v>% of 7.4G</v>
      </c>
      <c r="M105" s="39" t="str">
        <f t="shared" si="24"/>
        <v>Gal in Tank</v>
      </c>
      <c r="N105" s="39" t="str">
        <f t="shared" si="24"/>
        <v>Miles Left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8" t="s">
        <v>171</v>
      </c>
      <c r="G106" s="39">
        <f>SUM(G81:G103)</f>
        <v>97.331</v>
      </c>
      <c r="H106" s="39"/>
      <c r="I106" s="60">
        <f t="shared" ref="I106:J106" si="25">SUM(I81:I103)</f>
        <v>521.97</v>
      </c>
      <c r="J106" s="10">
        <f t="shared" si="25"/>
        <v>4060</v>
      </c>
      <c r="K106" s="34"/>
      <c r="L106" s="10"/>
      <c r="M106" s="10"/>
      <c r="N106" s="6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8" t="s">
        <v>178</v>
      </c>
      <c r="G107" s="39">
        <f t="shared" ref="G107:N107" si="26">AVERAGE(G81:G103)</f>
        <v>4.424136364</v>
      </c>
      <c r="H107" s="39">
        <f t="shared" si="26"/>
        <v>5.391090909</v>
      </c>
      <c r="I107" s="60">
        <f t="shared" si="26"/>
        <v>23.72590909</v>
      </c>
      <c r="J107" s="36">
        <f t="shared" si="26"/>
        <v>184.5454545</v>
      </c>
      <c r="K107" s="34">
        <f t="shared" si="26"/>
        <v>41.93505535</v>
      </c>
      <c r="L107" s="30">
        <f t="shared" si="26"/>
        <v>0.5978562654</v>
      </c>
      <c r="M107" s="34">
        <f t="shared" si="26"/>
        <v>2.975863636</v>
      </c>
      <c r="N107" s="36">
        <f t="shared" si="26"/>
        <v>119.0345455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39"/>
      <c r="H108" s="39"/>
      <c r="I108" s="60"/>
      <c r="J108" s="10"/>
      <c r="K108" s="34"/>
      <c r="L108" s="10"/>
      <c r="M108" s="10"/>
      <c r="N108" s="6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33">
        <v>44938.0</v>
      </c>
      <c r="B109" s="58">
        <v>0.6305555555555555</v>
      </c>
      <c r="C109" s="8" t="s">
        <v>264</v>
      </c>
      <c r="D109" s="8" t="s">
        <v>44</v>
      </c>
      <c r="E109" s="8">
        <v>45190.0</v>
      </c>
      <c r="F109" s="8" t="s">
        <v>196</v>
      </c>
      <c r="G109" s="35">
        <v>5.163</v>
      </c>
      <c r="H109" s="35">
        <v>4.799</v>
      </c>
      <c r="I109" s="12">
        <v>24.78</v>
      </c>
      <c r="J109" s="10">
        <f>E109-E103</f>
        <v>177</v>
      </c>
      <c r="K109" s="34">
        <f t="shared" ref="K109:K129" si="27">J109/G109</f>
        <v>34.28239396</v>
      </c>
      <c r="L109" s="30">
        <f t="shared" ref="L109:L129" si="28">G109/7.4</f>
        <v>0.6977027027</v>
      </c>
      <c r="M109" s="39">
        <f t="shared" ref="M109:M129" si="29">7.4-G109</f>
        <v>2.237</v>
      </c>
      <c r="N109" s="60">
        <f t="shared" ref="N109:N129" si="30">M109*40</f>
        <v>89.48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33">
        <v>44988.0</v>
      </c>
      <c r="B110" s="58">
        <v>0.6354166666666666</v>
      </c>
      <c r="C110" s="8" t="s">
        <v>46</v>
      </c>
      <c r="D110" s="8" t="s">
        <v>44</v>
      </c>
      <c r="E110" s="8">
        <v>45390.0</v>
      </c>
      <c r="F110" s="8" t="s">
        <v>116</v>
      </c>
      <c r="G110" s="35">
        <v>4.44</v>
      </c>
      <c r="H110" s="35">
        <v>4.659</v>
      </c>
      <c r="I110" s="12">
        <v>20.69</v>
      </c>
      <c r="J110" s="10">
        <f t="shared" ref="J110:J129" si="31">E110-E109</f>
        <v>200</v>
      </c>
      <c r="K110" s="34">
        <f t="shared" si="27"/>
        <v>45.04504505</v>
      </c>
      <c r="L110" s="30">
        <f t="shared" si="28"/>
        <v>0.6</v>
      </c>
      <c r="M110" s="39">
        <f t="shared" si="29"/>
        <v>2.96</v>
      </c>
      <c r="N110" s="60">
        <f t="shared" si="30"/>
        <v>118.4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33">
        <v>44989.0</v>
      </c>
      <c r="B111" s="58">
        <v>0.5638888888888889</v>
      </c>
      <c r="C111" s="8" t="s">
        <v>43</v>
      </c>
      <c r="D111" s="8" t="s">
        <v>44</v>
      </c>
      <c r="E111" s="8">
        <v>45515.0</v>
      </c>
      <c r="F111" s="8" t="s">
        <v>116</v>
      </c>
      <c r="G111" s="35">
        <v>2.904</v>
      </c>
      <c r="H111" s="35">
        <v>4.779</v>
      </c>
      <c r="I111" s="12">
        <v>13.88</v>
      </c>
      <c r="J111" s="10">
        <f t="shared" si="31"/>
        <v>125</v>
      </c>
      <c r="K111" s="34">
        <f t="shared" si="27"/>
        <v>43.04407713</v>
      </c>
      <c r="L111" s="30">
        <f t="shared" si="28"/>
        <v>0.3924324324</v>
      </c>
      <c r="M111" s="39">
        <f t="shared" si="29"/>
        <v>4.496</v>
      </c>
      <c r="N111" s="60">
        <f t="shared" si="30"/>
        <v>179.84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33">
        <v>44990.0</v>
      </c>
      <c r="B112" s="58">
        <v>0.45555555555555555</v>
      </c>
      <c r="C112" s="8" t="s">
        <v>177</v>
      </c>
      <c r="D112" s="8" t="s">
        <v>42</v>
      </c>
      <c r="E112" s="8">
        <v>45711.0</v>
      </c>
      <c r="F112" s="8" t="s">
        <v>149</v>
      </c>
      <c r="G112" s="35">
        <v>4.648</v>
      </c>
      <c r="H112" s="35">
        <v>4.699</v>
      </c>
      <c r="I112" s="12">
        <v>21.84</v>
      </c>
      <c r="J112" s="10">
        <f t="shared" si="31"/>
        <v>196</v>
      </c>
      <c r="K112" s="34">
        <f t="shared" si="27"/>
        <v>42.1686747</v>
      </c>
      <c r="L112" s="30">
        <f t="shared" si="28"/>
        <v>0.6281081081</v>
      </c>
      <c r="M112" s="39">
        <f t="shared" si="29"/>
        <v>2.752</v>
      </c>
      <c r="N112" s="60">
        <f t="shared" si="30"/>
        <v>110.08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33">
        <v>44990.0</v>
      </c>
      <c r="B113" s="58">
        <v>0.6194444444444445</v>
      </c>
      <c r="C113" s="8" t="s">
        <v>168</v>
      </c>
      <c r="D113" s="8" t="s">
        <v>39</v>
      </c>
      <c r="E113" s="8">
        <v>45864.0</v>
      </c>
      <c r="F113" s="8" t="s">
        <v>112</v>
      </c>
      <c r="G113" s="35">
        <v>4.168</v>
      </c>
      <c r="H113" s="35">
        <v>4.399</v>
      </c>
      <c r="I113" s="12">
        <v>18.34</v>
      </c>
      <c r="J113" s="10">
        <f t="shared" si="31"/>
        <v>153</v>
      </c>
      <c r="K113" s="34">
        <f t="shared" si="27"/>
        <v>36.70825336</v>
      </c>
      <c r="L113" s="30">
        <f t="shared" si="28"/>
        <v>0.5632432432</v>
      </c>
      <c r="M113" s="39">
        <f t="shared" si="29"/>
        <v>3.232</v>
      </c>
      <c r="N113" s="60">
        <f t="shared" si="30"/>
        <v>129.28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33">
        <v>44993.0</v>
      </c>
      <c r="B114" s="58">
        <v>0.4548611111111111</v>
      </c>
      <c r="C114" s="8" t="s">
        <v>170</v>
      </c>
      <c r="D114" s="8" t="s">
        <v>39</v>
      </c>
      <c r="E114" s="8">
        <v>46089.0</v>
      </c>
      <c r="F114" s="8" t="s">
        <v>147</v>
      </c>
      <c r="G114" s="35">
        <v>4.967</v>
      </c>
      <c r="H114" s="35">
        <v>4.199</v>
      </c>
      <c r="I114" s="12">
        <v>20.86</v>
      </c>
      <c r="J114" s="10">
        <f t="shared" si="31"/>
        <v>225</v>
      </c>
      <c r="K114" s="34">
        <f t="shared" si="27"/>
        <v>45.29897322</v>
      </c>
      <c r="L114" s="30">
        <f t="shared" si="28"/>
        <v>0.6712162162</v>
      </c>
      <c r="M114" s="39">
        <f t="shared" si="29"/>
        <v>2.433</v>
      </c>
      <c r="N114" s="60">
        <f t="shared" si="30"/>
        <v>97.32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33">
        <v>44995.0</v>
      </c>
      <c r="B115" s="58">
        <v>0.34930555555555554</v>
      </c>
      <c r="C115" s="8" t="s">
        <v>170</v>
      </c>
      <c r="D115" s="8" t="s">
        <v>39</v>
      </c>
      <c r="E115" s="8">
        <v>46283.0</v>
      </c>
      <c r="F115" s="8" t="s">
        <v>147</v>
      </c>
      <c r="G115" s="35">
        <v>4.2</v>
      </c>
      <c r="H115" s="35">
        <v>4.399</v>
      </c>
      <c r="I115" s="12">
        <v>18.48</v>
      </c>
      <c r="J115" s="10">
        <f t="shared" si="31"/>
        <v>194</v>
      </c>
      <c r="K115" s="34">
        <f t="shared" si="27"/>
        <v>46.19047619</v>
      </c>
      <c r="L115" s="30">
        <f t="shared" si="28"/>
        <v>0.5675675676</v>
      </c>
      <c r="M115" s="39">
        <f t="shared" si="29"/>
        <v>3.2</v>
      </c>
      <c r="N115" s="60">
        <f t="shared" si="30"/>
        <v>128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33">
        <v>44995.0</v>
      </c>
      <c r="B116" s="58">
        <v>0.5875</v>
      </c>
      <c r="C116" s="8" t="s">
        <v>265</v>
      </c>
      <c r="D116" s="8" t="s">
        <v>39</v>
      </c>
      <c r="E116" s="8">
        <v>46457.0</v>
      </c>
      <c r="F116" s="8" t="s">
        <v>126</v>
      </c>
      <c r="G116" s="35">
        <v>3.14</v>
      </c>
      <c r="H116" s="35">
        <v>4.449</v>
      </c>
      <c r="I116" s="12">
        <v>13.97</v>
      </c>
      <c r="J116" s="10">
        <f t="shared" si="31"/>
        <v>174</v>
      </c>
      <c r="K116" s="34">
        <f t="shared" si="27"/>
        <v>55.41401274</v>
      </c>
      <c r="L116" s="30">
        <f t="shared" si="28"/>
        <v>0.4243243243</v>
      </c>
      <c r="M116" s="39">
        <f t="shared" si="29"/>
        <v>4.26</v>
      </c>
      <c r="N116" s="60">
        <f t="shared" si="30"/>
        <v>170.4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33">
        <v>44997.0</v>
      </c>
      <c r="B117" s="58">
        <v>0.5756944444444444</v>
      </c>
      <c r="C117" s="8" t="s">
        <v>173</v>
      </c>
      <c r="D117" s="8" t="s">
        <v>39</v>
      </c>
      <c r="E117" s="8">
        <v>46621.0</v>
      </c>
      <c r="F117" s="8" t="s">
        <v>196</v>
      </c>
      <c r="G117" s="35">
        <v>4.143</v>
      </c>
      <c r="H117" s="35">
        <v>4.399</v>
      </c>
      <c r="I117" s="12">
        <v>18.23</v>
      </c>
      <c r="J117" s="10">
        <f t="shared" si="31"/>
        <v>164</v>
      </c>
      <c r="K117" s="34">
        <f t="shared" si="27"/>
        <v>39.5848419</v>
      </c>
      <c r="L117" s="30">
        <f t="shared" si="28"/>
        <v>0.5598648649</v>
      </c>
      <c r="M117" s="39">
        <f t="shared" si="29"/>
        <v>3.257</v>
      </c>
      <c r="N117" s="60">
        <f t="shared" si="30"/>
        <v>130.28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33">
        <v>44998.0</v>
      </c>
      <c r="B118" s="58">
        <v>0.4777777777777778</v>
      </c>
      <c r="C118" s="8" t="s">
        <v>265</v>
      </c>
      <c r="D118" s="8" t="s">
        <v>39</v>
      </c>
      <c r="E118" s="8">
        <v>46788.0</v>
      </c>
      <c r="F118" s="8" t="s">
        <v>126</v>
      </c>
      <c r="G118" s="35">
        <v>3.574</v>
      </c>
      <c r="H118" s="35">
        <v>4.449</v>
      </c>
      <c r="I118" s="12">
        <v>15.9</v>
      </c>
      <c r="J118" s="10">
        <f t="shared" si="31"/>
        <v>167</v>
      </c>
      <c r="K118" s="34">
        <f t="shared" si="27"/>
        <v>46.72635702</v>
      </c>
      <c r="L118" s="30">
        <f t="shared" si="28"/>
        <v>0.482972973</v>
      </c>
      <c r="M118" s="39">
        <f t="shared" si="29"/>
        <v>3.826</v>
      </c>
      <c r="N118" s="60">
        <f t="shared" si="30"/>
        <v>153.04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33">
        <v>44998.0</v>
      </c>
      <c r="B119" s="58">
        <v>0.6131944444444445</v>
      </c>
      <c r="C119" s="8" t="s">
        <v>266</v>
      </c>
      <c r="D119" s="8" t="s">
        <v>39</v>
      </c>
      <c r="E119" s="8">
        <v>47001.0</v>
      </c>
      <c r="F119" s="8" t="s">
        <v>112</v>
      </c>
      <c r="G119" s="35">
        <v>5.705</v>
      </c>
      <c r="H119" s="35">
        <v>4.649</v>
      </c>
      <c r="I119" s="12">
        <v>26.52</v>
      </c>
      <c r="J119" s="10">
        <f t="shared" si="31"/>
        <v>213</v>
      </c>
      <c r="K119" s="34">
        <f t="shared" si="27"/>
        <v>37.33567046</v>
      </c>
      <c r="L119" s="30">
        <f t="shared" si="28"/>
        <v>0.7709459459</v>
      </c>
      <c r="M119" s="39">
        <f t="shared" si="29"/>
        <v>1.695</v>
      </c>
      <c r="N119" s="60">
        <f t="shared" si="30"/>
        <v>67.8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33">
        <v>45030.0</v>
      </c>
      <c r="B120" s="58">
        <v>0.3854166666666667</v>
      </c>
      <c r="C120" s="8" t="s">
        <v>267</v>
      </c>
      <c r="D120" s="8" t="s">
        <v>42</v>
      </c>
      <c r="E120" s="8">
        <v>47168.0</v>
      </c>
      <c r="F120" s="8" t="s">
        <v>126</v>
      </c>
      <c r="G120" s="35">
        <v>3.777</v>
      </c>
      <c r="H120" s="35">
        <v>4.659</v>
      </c>
      <c r="I120" s="12">
        <v>17.6</v>
      </c>
      <c r="J120" s="10">
        <f t="shared" si="31"/>
        <v>167</v>
      </c>
      <c r="K120" s="34">
        <f t="shared" si="27"/>
        <v>44.21498544</v>
      </c>
      <c r="L120" s="30">
        <f t="shared" si="28"/>
        <v>0.5104054054</v>
      </c>
      <c r="M120" s="39">
        <f t="shared" si="29"/>
        <v>3.623</v>
      </c>
      <c r="N120" s="60">
        <f t="shared" si="30"/>
        <v>144.92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33">
        <v>44999.0</v>
      </c>
      <c r="B121" s="58">
        <v>0.48541666666666666</v>
      </c>
      <c r="C121" s="8" t="s">
        <v>268</v>
      </c>
      <c r="D121" s="8" t="s">
        <v>42</v>
      </c>
      <c r="E121" s="8">
        <v>47304.0</v>
      </c>
      <c r="F121" s="8" t="s">
        <v>269</v>
      </c>
      <c r="G121" s="35">
        <v>2.393</v>
      </c>
      <c r="H121" s="35">
        <v>4.949</v>
      </c>
      <c r="I121" s="12">
        <v>11.84</v>
      </c>
      <c r="J121" s="10">
        <f t="shared" si="31"/>
        <v>136</v>
      </c>
      <c r="K121" s="34">
        <f t="shared" si="27"/>
        <v>56.83242791</v>
      </c>
      <c r="L121" s="30">
        <f t="shared" si="28"/>
        <v>0.3233783784</v>
      </c>
      <c r="M121" s="39">
        <f t="shared" si="29"/>
        <v>5.007</v>
      </c>
      <c r="N121" s="60">
        <f t="shared" si="30"/>
        <v>200.28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33">
        <v>45000.0</v>
      </c>
      <c r="B122" s="58">
        <v>0.6333333333333333</v>
      </c>
      <c r="C122" s="8" t="s">
        <v>175</v>
      </c>
      <c r="D122" s="8" t="s">
        <v>44</v>
      </c>
      <c r="E122" s="8">
        <v>47454.0</v>
      </c>
      <c r="F122" s="8" t="s">
        <v>112</v>
      </c>
      <c r="G122" s="35">
        <v>4.353</v>
      </c>
      <c r="H122" s="35">
        <v>5.399</v>
      </c>
      <c r="I122" s="12">
        <v>23.5</v>
      </c>
      <c r="J122" s="10">
        <f t="shared" si="31"/>
        <v>150</v>
      </c>
      <c r="K122" s="34">
        <f t="shared" si="27"/>
        <v>34.4589938</v>
      </c>
      <c r="L122" s="30">
        <f t="shared" si="28"/>
        <v>0.5882432432</v>
      </c>
      <c r="M122" s="39">
        <f t="shared" si="29"/>
        <v>3.047</v>
      </c>
      <c r="N122" s="60">
        <f t="shared" si="30"/>
        <v>121.88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33">
        <v>45001.0</v>
      </c>
      <c r="B123" s="58">
        <v>0.5777777777777777</v>
      </c>
      <c r="C123" s="8" t="s">
        <v>270</v>
      </c>
      <c r="D123" s="8" t="s">
        <v>44</v>
      </c>
      <c r="E123" s="8">
        <v>47615.0</v>
      </c>
      <c r="F123" s="8" t="s">
        <v>271</v>
      </c>
      <c r="G123" s="35">
        <v>3.839</v>
      </c>
      <c r="H123" s="35">
        <v>6.789</v>
      </c>
      <c r="I123" s="12">
        <v>26.06</v>
      </c>
      <c r="J123" s="10">
        <f t="shared" si="31"/>
        <v>161</v>
      </c>
      <c r="K123" s="34">
        <f t="shared" si="27"/>
        <v>41.93800469</v>
      </c>
      <c r="L123" s="30">
        <f t="shared" si="28"/>
        <v>0.5187837838</v>
      </c>
      <c r="M123" s="39">
        <f t="shared" si="29"/>
        <v>3.561</v>
      </c>
      <c r="N123" s="60">
        <f t="shared" si="30"/>
        <v>142.44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33">
        <v>45001.0</v>
      </c>
      <c r="B124" s="58">
        <v>0.6736111111111112</v>
      </c>
      <c r="C124" s="8" t="s">
        <v>175</v>
      </c>
      <c r="D124" s="8" t="s">
        <v>44</v>
      </c>
      <c r="E124" s="8">
        <v>47719.0</v>
      </c>
      <c r="F124" s="8" t="s">
        <v>112</v>
      </c>
      <c r="G124" s="35">
        <v>2.185</v>
      </c>
      <c r="H124" s="35">
        <v>5.399</v>
      </c>
      <c r="I124" s="12">
        <v>11.8</v>
      </c>
      <c r="J124" s="10">
        <f t="shared" si="31"/>
        <v>104</v>
      </c>
      <c r="K124" s="34">
        <f t="shared" si="27"/>
        <v>47.597254</v>
      </c>
      <c r="L124" s="30">
        <f t="shared" si="28"/>
        <v>0.2952702703</v>
      </c>
      <c r="M124" s="39">
        <f t="shared" si="29"/>
        <v>5.215</v>
      </c>
      <c r="N124" s="60">
        <f t="shared" si="30"/>
        <v>208.6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33">
        <v>45002.0</v>
      </c>
      <c r="B125" s="58">
        <v>0.5784722222222223</v>
      </c>
      <c r="C125" s="8" t="s">
        <v>272</v>
      </c>
      <c r="D125" s="8" t="s">
        <v>42</v>
      </c>
      <c r="E125" s="8">
        <v>47909.0</v>
      </c>
      <c r="F125" s="8" t="s">
        <v>209</v>
      </c>
      <c r="G125" s="35">
        <v>4.798</v>
      </c>
      <c r="H125" s="35">
        <v>5.399</v>
      </c>
      <c r="I125" s="12">
        <v>25.9</v>
      </c>
      <c r="J125" s="10">
        <f t="shared" si="31"/>
        <v>190</v>
      </c>
      <c r="K125" s="34">
        <f t="shared" si="27"/>
        <v>39.59983326</v>
      </c>
      <c r="L125" s="30">
        <f t="shared" si="28"/>
        <v>0.6483783784</v>
      </c>
      <c r="M125" s="39">
        <f t="shared" si="29"/>
        <v>2.602</v>
      </c>
      <c r="N125" s="60">
        <f t="shared" si="30"/>
        <v>104.08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33">
        <v>45004.0</v>
      </c>
      <c r="B126" s="58">
        <v>0.6291666666666667</v>
      </c>
      <c r="C126" s="8" t="s">
        <v>177</v>
      </c>
      <c r="D126" s="8" t="s">
        <v>42</v>
      </c>
      <c r="E126" s="8">
        <v>48056.0</v>
      </c>
      <c r="F126" s="8" t="s">
        <v>116</v>
      </c>
      <c r="G126" s="35">
        <v>3.18</v>
      </c>
      <c r="H126" s="35">
        <v>4.199</v>
      </c>
      <c r="I126" s="12">
        <v>13.35</v>
      </c>
      <c r="J126" s="10">
        <f t="shared" si="31"/>
        <v>147</v>
      </c>
      <c r="K126" s="34">
        <f t="shared" si="27"/>
        <v>46.22641509</v>
      </c>
      <c r="L126" s="30">
        <f t="shared" si="28"/>
        <v>0.4297297297</v>
      </c>
      <c r="M126" s="39">
        <f t="shared" si="29"/>
        <v>4.22</v>
      </c>
      <c r="N126" s="60">
        <f t="shared" si="30"/>
        <v>168.8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33">
        <v>45005.0</v>
      </c>
      <c r="B127" s="58">
        <v>0.42291666666666666</v>
      </c>
      <c r="C127" s="8" t="s">
        <v>47</v>
      </c>
      <c r="D127" s="8" t="s">
        <v>44</v>
      </c>
      <c r="E127" s="8">
        <v>48224.0</v>
      </c>
      <c r="F127" s="8" t="s">
        <v>126</v>
      </c>
      <c r="G127" s="35">
        <v>4.973</v>
      </c>
      <c r="H127" s="35">
        <v>5.199</v>
      </c>
      <c r="I127" s="12">
        <v>25.85</v>
      </c>
      <c r="J127" s="10">
        <f t="shared" si="31"/>
        <v>168</v>
      </c>
      <c r="K127" s="34">
        <f t="shared" si="27"/>
        <v>33.7824251</v>
      </c>
      <c r="L127" s="30">
        <f t="shared" si="28"/>
        <v>0.672027027</v>
      </c>
      <c r="M127" s="39">
        <f t="shared" si="29"/>
        <v>2.427</v>
      </c>
      <c r="N127" s="60">
        <f t="shared" si="30"/>
        <v>97.08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33">
        <v>45006.0</v>
      </c>
      <c r="B128" s="58">
        <v>0.6326388888888889</v>
      </c>
      <c r="C128" s="8" t="s">
        <v>179</v>
      </c>
      <c r="D128" s="8" t="s">
        <v>44</v>
      </c>
      <c r="E128" s="8">
        <v>48400.0</v>
      </c>
      <c r="F128" s="8" t="s">
        <v>116</v>
      </c>
      <c r="G128" s="35">
        <v>3.997</v>
      </c>
      <c r="H128" s="35">
        <v>4.899</v>
      </c>
      <c r="I128" s="12">
        <v>19.58</v>
      </c>
      <c r="J128" s="10">
        <f t="shared" si="31"/>
        <v>176</v>
      </c>
      <c r="K128" s="34">
        <f t="shared" si="27"/>
        <v>44.03302477</v>
      </c>
      <c r="L128" s="30">
        <f t="shared" si="28"/>
        <v>0.5401351351</v>
      </c>
      <c r="M128" s="39">
        <f t="shared" si="29"/>
        <v>3.403</v>
      </c>
      <c r="N128" s="60">
        <f t="shared" si="30"/>
        <v>136.12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33">
        <v>45011.0</v>
      </c>
      <c r="B129" s="58">
        <v>0.40902777777777777</v>
      </c>
      <c r="C129" s="8" t="s">
        <v>46</v>
      </c>
      <c r="D129" s="8" t="s">
        <v>44</v>
      </c>
      <c r="E129" s="8">
        <v>48578.0</v>
      </c>
      <c r="F129" s="8" t="s">
        <v>116</v>
      </c>
      <c r="G129" s="35">
        <v>5.0</v>
      </c>
      <c r="H129" s="35">
        <v>4.599</v>
      </c>
      <c r="I129" s="12">
        <v>23.0</v>
      </c>
      <c r="J129" s="10">
        <f t="shared" si="31"/>
        <v>178</v>
      </c>
      <c r="K129" s="34">
        <f t="shared" si="27"/>
        <v>35.6</v>
      </c>
      <c r="L129" s="30">
        <f t="shared" si="28"/>
        <v>0.6756756757</v>
      </c>
      <c r="M129" s="39">
        <f t="shared" si="29"/>
        <v>2.4</v>
      </c>
      <c r="N129" s="60">
        <f t="shared" si="30"/>
        <v>96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39"/>
      <c r="H130" s="39"/>
      <c r="I130" s="60"/>
      <c r="J130" s="10"/>
      <c r="K130" s="34"/>
      <c r="L130" s="30"/>
      <c r="M130" s="10"/>
      <c r="N130" s="6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33">
        <v>45081.0</v>
      </c>
      <c r="B131" s="58">
        <v>0.39375</v>
      </c>
      <c r="C131" s="8" t="s">
        <v>273</v>
      </c>
      <c r="D131" s="8" t="s">
        <v>44</v>
      </c>
      <c r="E131" s="8">
        <v>48708.0</v>
      </c>
      <c r="F131" s="8" t="s">
        <v>112</v>
      </c>
      <c r="G131" s="35">
        <v>3.835</v>
      </c>
      <c r="H131" s="35">
        <v>5.999</v>
      </c>
      <c r="I131" s="12">
        <v>23.01</v>
      </c>
      <c r="J131" s="10">
        <f>E131-E129</f>
        <v>130</v>
      </c>
      <c r="K131" s="34">
        <f t="shared" ref="K131:K152" si="32">J131/G131</f>
        <v>33.89830508</v>
      </c>
      <c r="L131" s="30">
        <f t="shared" ref="L131:L152" si="33">G131/7.4</f>
        <v>0.5182432432</v>
      </c>
      <c r="M131" s="39">
        <f t="shared" ref="M131:M152" si="34">7.4-G131</f>
        <v>3.565</v>
      </c>
      <c r="N131" s="60">
        <f t="shared" ref="N131:N152" si="35">M131*40</f>
        <v>142.6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33">
        <v>45177.0</v>
      </c>
      <c r="B132" s="58">
        <v>0.5090277777777777</v>
      </c>
      <c r="C132" s="8" t="s">
        <v>274</v>
      </c>
      <c r="D132" s="8" t="s">
        <v>44</v>
      </c>
      <c r="E132" s="8">
        <v>48872.0</v>
      </c>
      <c r="F132" s="8" t="s">
        <v>275</v>
      </c>
      <c r="G132" s="35">
        <v>4.9</v>
      </c>
      <c r="H132" s="35">
        <v>5.499</v>
      </c>
      <c r="I132" s="12">
        <v>26.95</v>
      </c>
      <c r="J132" s="10">
        <f t="shared" ref="J132:J152" si="36">E132-E131</f>
        <v>164</v>
      </c>
      <c r="K132" s="34">
        <f t="shared" si="32"/>
        <v>33.46938776</v>
      </c>
      <c r="L132" s="30">
        <f t="shared" si="33"/>
        <v>0.6621621622</v>
      </c>
      <c r="M132" s="39">
        <f t="shared" si="34"/>
        <v>2.5</v>
      </c>
      <c r="N132" s="60">
        <f t="shared" si="35"/>
        <v>100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33">
        <v>45177.0</v>
      </c>
      <c r="B133" s="58">
        <v>0.6423611111111112</v>
      </c>
      <c r="C133" s="8" t="s">
        <v>276</v>
      </c>
      <c r="D133" s="8" t="s">
        <v>44</v>
      </c>
      <c r="E133" s="8">
        <v>49071.0</v>
      </c>
      <c r="F133" s="8" t="s">
        <v>196</v>
      </c>
      <c r="G133" s="35">
        <v>4.896</v>
      </c>
      <c r="H133" s="35">
        <v>5.899</v>
      </c>
      <c r="I133" s="12">
        <v>28.88</v>
      </c>
      <c r="J133" s="10">
        <f t="shared" si="36"/>
        <v>199</v>
      </c>
      <c r="K133" s="34">
        <f t="shared" si="32"/>
        <v>40.64542484</v>
      </c>
      <c r="L133" s="30">
        <f t="shared" si="33"/>
        <v>0.6616216216</v>
      </c>
      <c r="M133" s="39">
        <f t="shared" si="34"/>
        <v>2.504</v>
      </c>
      <c r="N133" s="60">
        <f t="shared" si="35"/>
        <v>100.16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33">
        <v>45178.0</v>
      </c>
      <c r="B134" s="58">
        <v>0.4527777777777778</v>
      </c>
      <c r="C134" s="8" t="s">
        <v>277</v>
      </c>
      <c r="D134" s="8" t="s">
        <v>44</v>
      </c>
      <c r="E134" s="8">
        <v>49300.0</v>
      </c>
      <c r="F134" s="8" t="s">
        <v>116</v>
      </c>
      <c r="G134" s="35">
        <v>5.044</v>
      </c>
      <c r="H134" s="35">
        <v>5.599</v>
      </c>
      <c r="I134" s="12">
        <v>28.24</v>
      </c>
      <c r="J134" s="10">
        <f t="shared" si="36"/>
        <v>229</v>
      </c>
      <c r="K134" s="34">
        <f t="shared" si="32"/>
        <v>45.40047581</v>
      </c>
      <c r="L134" s="30">
        <f t="shared" si="33"/>
        <v>0.6816216216</v>
      </c>
      <c r="M134" s="39">
        <f t="shared" si="34"/>
        <v>2.356</v>
      </c>
      <c r="N134" s="60">
        <f t="shared" si="35"/>
        <v>94.24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33">
        <v>45178.0</v>
      </c>
      <c r="B135" s="58">
        <v>0.6611111111111111</v>
      </c>
      <c r="C135" s="8" t="s">
        <v>148</v>
      </c>
      <c r="D135" s="8" t="s">
        <v>44</v>
      </c>
      <c r="E135" s="8">
        <v>49480.0</v>
      </c>
      <c r="F135" s="8" t="s">
        <v>196</v>
      </c>
      <c r="G135" s="35">
        <v>4.366</v>
      </c>
      <c r="H135" s="35">
        <v>6.349</v>
      </c>
      <c r="I135" s="12">
        <v>27.72</v>
      </c>
      <c r="J135" s="10">
        <f t="shared" si="36"/>
        <v>180</v>
      </c>
      <c r="K135" s="34">
        <f t="shared" si="32"/>
        <v>41.22766835</v>
      </c>
      <c r="L135" s="30">
        <f t="shared" si="33"/>
        <v>0.59</v>
      </c>
      <c r="M135" s="39">
        <f t="shared" si="34"/>
        <v>3.034</v>
      </c>
      <c r="N135" s="60">
        <f t="shared" si="35"/>
        <v>121.36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33">
        <v>45179.0</v>
      </c>
      <c r="B136" s="58">
        <v>0.5833333333333334</v>
      </c>
      <c r="C136" s="8" t="s">
        <v>278</v>
      </c>
      <c r="D136" s="8" t="s">
        <v>102</v>
      </c>
      <c r="E136" s="8">
        <v>49689.0</v>
      </c>
      <c r="F136" s="8" t="s">
        <v>279</v>
      </c>
      <c r="G136" s="35">
        <v>4.67</v>
      </c>
      <c r="H136" s="35">
        <v>5.389</v>
      </c>
      <c r="I136" s="12">
        <v>25.17</v>
      </c>
      <c r="J136" s="10">
        <f t="shared" si="36"/>
        <v>209</v>
      </c>
      <c r="K136" s="34">
        <f t="shared" si="32"/>
        <v>44.75374732</v>
      </c>
      <c r="L136" s="30">
        <f t="shared" si="33"/>
        <v>0.6310810811</v>
      </c>
      <c r="M136" s="39">
        <f t="shared" si="34"/>
        <v>2.73</v>
      </c>
      <c r="N136" s="60">
        <f t="shared" si="35"/>
        <v>109.2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33">
        <v>45180.0</v>
      </c>
      <c r="B137" s="58">
        <v>0.31875</v>
      </c>
      <c r="C137" s="8" t="s">
        <v>280</v>
      </c>
      <c r="D137" s="8" t="s">
        <v>102</v>
      </c>
      <c r="E137" s="8">
        <v>49787.0</v>
      </c>
      <c r="F137" s="8" t="s">
        <v>209</v>
      </c>
      <c r="G137" s="35">
        <v>2.722</v>
      </c>
      <c r="H137" s="35">
        <v>4.859</v>
      </c>
      <c r="I137" s="12">
        <v>13.23</v>
      </c>
      <c r="J137" s="10">
        <f t="shared" si="36"/>
        <v>98</v>
      </c>
      <c r="K137" s="34">
        <f t="shared" si="32"/>
        <v>36.00293902</v>
      </c>
      <c r="L137" s="30">
        <f t="shared" si="33"/>
        <v>0.3678378378</v>
      </c>
      <c r="M137" s="39">
        <f t="shared" si="34"/>
        <v>4.678</v>
      </c>
      <c r="N137" s="60">
        <f t="shared" si="35"/>
        <v>187.12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33">
        <v>45180.0</v>
      </c>
      <c r="B138" s="58">
        <v>0.47291666666666665</v>
      </c>
      <c r="C138" s="8" t="s">
        <v>281</v>
      </c>
      <c r="D138" s="8" t="s">
        <v>151</v>
      </c>
      <c r="E138" s="8">
        <v>50023.0</v>
      </c>
      <c r="F138" s="8" t="s">
        <v>116</v>
      </c>
      <c r="G138" s="35">
        <v>5.462</v>
      </c>
      <c r="H138" s="35">
        <v>5.159</v>
      </c>
      <c r="I138" s="12">
        <v>28.18</v>
      </c>
      <c r="J138" s="10">
        <f t="shared" si="36"/>
        <v>236</v>
      </c>
      <c r="K138" s="34">
        <f t="shared" si="32"/>
        <v>43.20761626</v>
      </c>
      <c r="L138" s="30">
        <f t="shared" si="33"/>
        <v>0.7381081081</v>
      </c>
      <c r="M138" s="39">
        <f t="shared" si="34"/>
        <v>1.938</v>
      </c>
      <c r="N138" s="60">
        <f t="shared" si="35"/>
        <v>77.52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33">
        <v>45180.0</v>
      </c>
      <c r="B139" s="58">
        <v>0.6104166666666667</v>
      </c>
      <c r="C139" s="8" t="s">
        <v>153</v>
      </c>
      <c r="D139" s="8" t="s">
        <v>151</v>
      </c>
      <c r="E139" s="8">
        <v>50145.0</v>
      </c>
      <c r="F139" s="8" t="s">
        <v>112</v>
      </c>
      <c r="G139" s="35">
        <v>2.09</v>
      </c>
      <c r="H139" s="35">
        <v>5.749</v>
      </c>
      <c r="I139" s="12">
        <v>12.02</v>
      </c>
      <c r="J139" s="10">
        <f t="shared" si="36"/>
        <v>122</v>
      </c>
      <c r="K139" s="34">
        <f t="shared" si="32"/>
        <v>58.37320574</v>
      </c>
      <c r="L139" s="30">
        <f t="shared" si="33"/>
        <v>0.2824324324</v>
      </c>
      <c r="M139" s="39">
        <f t="shared" si="34"/>
        <v>5.31</v>
      </c>
      <c r="N139" s="60">
        <f t="shared" si="35"/>
        <v>212.4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33">
        <v>45187.0</v>
      </c>
      <c r="B140" s="58">
        <v>0.41805555555555557</v>
      </c>
      <c r="C140" s="8" t="s">
        <v>189</v>
      </c>
      <c r="D140" s="8" t="s">
        <v>188</v>
      </c>
      <c r="E140" s="8">
        <v>50367.0</v>
      </c>
      <c r="F140" s="8" t="s">
        <v>282</v>
      </c>
      <c r="G140" s="35">
        <f t="shared" ref="G140:G142" si="37">0.264172*O140</f>
        <v>5.6466765</v>
      </c>
      <c r="H140" s="35">
        <v>5.94</v>
      </c>
      <c r="I140" s="12">
        <f t="shared" ref="I140:I142" si="38">0.73*Q140</f>
        <v>33.5289</v>
      </c>
      <c r="J140" s="10">
        <f t="shared" si="36"/>
        <v>222</v>
      </c>
      <c r="K140" s="34">
        <f t="shared" si="32"/>
        <v>39.31516176</v>
      </c>
      <c r="L140" s="30">
        <f t="shared" si="33"/>
        <v>0.7630643919</v>
      </c>
      <c r="M140" s="39">
        <f t="shared" si="34"/>
        <v>1.7533235</v>
      </c>
      <c r="N140" s="60">
        <f t="shared" si="35"/>
        <v>70.13294</v>
      </c>
      <c r="O140" s="35">
        <v>21.375</v>
      </c>
      <c r="P140" s="8">
        <v>2.149</v>
      </c>
      <c r="Q140" s="8">
        <v>45.93</v>
      </c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33">
        <v>45188.0</v>
      </c>
      <c r="B141" s="58">
        <v>0.6229166666666667</v>
      </c>
      <c r="C141" s="8" t="s">
        <v>191</v>
      </c>
      <c r="D141" s="8" t="s">
        <v>188</v>
      </c>
      <c r="E141" s="8">
        <v>50585.0</v>
      </c>
      <c r="F141" s="8" t="s">
        <v>112</v>
      </c>
      <c r="G141" s="35">
        <f t="shared" si="37"/>
        <v>4.030472204</v>
      </c>
      <c r="H141" s="35">
        <v>6.13</v>
      </c>
      <c r="I141" s="12">
        <f t="shared" si="38"/>
        <v>24.7178</v>
      </c>
      <c r="J141" s="10">
        <f t="shared" si="36"/>
        <v>218</v>
      </c>
      <c r="K141" s="34">
        <f t="shared" si="32"/>
        <v>54.0879552</v>
      </c>
      <c r="L141" s="30">
        <f t="shared" si="33"/>
        <v>0.5446584059</v>
      </c>
      <c r="M141" s="39">
        <f t="shared" si="34"/>
        <v>3.369527796</v>
      </c>
      <c r="N141" s="60">
        <f t="shared" si="35"/>
        <v>134.7811118</v>
      </c>
      <c r="O141" s="35">
        <v>15.257</v>
      </c>
      <c r="P141" s="8">
        <v>2.219</v>
      </c>
      <c r="Q141" s="8">
        <v>33.86</v>
      </c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33">
        <v>45193.0</v>
      </c>
      <c r="B142" s="58">
        <v>0.38958333333333334</v>
      </c>
      <c r="C142" s="8" t="s">
        <v>283</v>
      </c>
      <c r="D142" s="8" t="s">
        <v>188</v>
      </c>
      <c r="E142" s="8">
        <v>50809.0</v>
      </c>
      <c r="F142" s="8" t="s">
        <v>196</v>
      </c>
      <c r="G142" s="35">
        <f t="shared" si="37"/>
        <v>4.959565128</v>
      </c>
      <c r="H142" s="35">
        <v>6.05</v>
      </c>
      <c r="I142" s="12">
        <f t="shared" si="38"/>
        <v>30.003</v>
      </c>
      <c r="J142" s="10">
        <f t="shared" si="36"/>
        <v>224</v>
      </c>
      <c r="K142" s="34">
        <f t="shared" si="32"/>
        <v>45.16525022</v>
      </c>
      <c r="L142" s="30">
        <f t="shared" si="33"/>
        <v>0.6702115038</v>
      </c>
      <c r="M142" s="39">
        <f t="shared" si="34"/>
        <v>2.440434872</v>
      </c>
      <c r="N142" s="60">
        <f t="shared" si="35"/>
        <v>97.61739488</v>
      </c>
      <c r="O142" s="35">
        <v>18.774</v>
      </c>
      <c r="P142" s="8">
        <v>2.189</v>
      </c>
      <c r="Q142" s="8">
        <v>41.1</v>
      </c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33">
        <v>45194.0</v>
      </c>
      <c r="B143" s="58">
        <v>0.5625</v>
      </c>
      <c r="C143" s="8" t="s">
        <v>76</v>
      </c>
      <c r="D143" s="8" t="s">
        <v>151</v>
      </c>
      <c r="E143" s="8">
        <v>50920.0</v>
      </c>
      <c r="F143" s="8" t="s">
        <v>116</v>
      </c>
      <c r="G143" s="35">
        <v>2.547</v>
      </c>
      <c r="H143" s="35">
        <v>4.959</v>
      </c>
      <c r="I143" s="12">
        <v>12.63</v>
      </c>
      <c r="J143" s="10">
        <f t="shared" si="36"/>
        <v>111</v>
      </c>
      <c r="K143" s="34">
        <f t="shared" si="32"/>
        <v>43.58068316</v>
      </c>
      <c r="L143" s="30">
        <f t="shared" si="33"/>
        <v>0.3441891892</v>
      </c>
      <c r="M143" s="39">
        <f t="shared" si="34"/>
        <v>4.853</v>
      </c>
      <c r="N143" s="60">
        <f t="shared" si="35"/>
        <v>194.12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33">
        <v>45195.0</v>
      </c>
      <c r="B144" s="58">
        <v>0.7166666666666667</v>
      </c>
      <c r="C144" s="8" t="s">
        <v>284</v>
      </c>
      <c r="D144" s="8" t="s">
        <v>151</v>
      </c>
      <c r="E144" s="8">
        <v>51022.0</v>
      </c>
      <c r="F144" s="8" t="s">
        <v>196</v>
      </c>
      <c r="G144" s="35">
        <v>2.99</v>
      </c>
      <c r="H144" s="35">
        <v>5.299</v>
      </c>
      <c r="I144" s="12">
        <v>15.84</v>
      </c>
      <c r="J144" s="10">
        <f t="shared" si="36"/>
        <v>102</v>
      </c>
      <c r="K144" s="34">
        <f t="shared" si="32"/>
        <v>34.11371237</v>
      </c>
      <c r="L144" s="30">
        <f t="shared" si="33"/>
        <v>0.4040540541</v>
      </c>
      <c r="M144" s="39">
        <f t="shared" si="34"/>
        <v>4.41</v>
      </c>
      <c r="N144" s="60">
        <f t="shared" si="35"/>
        <v>176.4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33">
        <v>45196.0</v>
      </c>
      <c r="B145" s="58">
        <v>0.47708333333333336</v>
      </c>
      <c r="C145" s="8" t="s">
        <v>193</v>
      </c>
      <c r="D145" s="8" t="s">
        <v>151</v>
      </c>
      <c r="E145" s="8">
        <v>51207.0</v>
      </c>
      <c r="F145" s="8" t="s">
        <v>116</v>
      </c>
      <c r="G145" s="35">
        <v>4.425</v>
      </c>
      <c r="H145" s="35">
        <v>4.999</v>
      </c>
      <c r="I145" s="12">
        <v>22.12</v>
      </c>
      <c r="J145" s="10">
        <f t="shared" si="36"/>
        <v>185</v>
      </c>
      <c r="K145" s="34">
        <f t="shared" si="32"/>
        <v>41.8079096</v>
      </c>
      <c r="L145" s="30">
        <f t="shared" si="33"/>
        <v>0.597972973</v>
      </c>
      <c r="M145" s="39">
        <f t="shared" si="34"/>
        <v>2.975</v>
      </c>
      <c r="N145" s="60">
        <f t="shared" si="35"/>
        <v>119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33">
        <v>45196.0</v>
      </c>
      <c r="B146" s="58">
        <v>0.6118055555555556</v>
      </c>
      <c r="C146" s="8" t="s">
        <v>280</v>
      </c>
      <c r="D146" s="8" t="s">
        <v>102</v>
      </c>
      <c r="E146" s="8">
        <v>51345.0</v>
      </c>
      <c r="F146" s="8" t="s">
        <v>209</v>
      </c>
      <c r="G146" s="35">
        <v>3.468</v>
      </c>
      <c r="H146" s="35">
        <v>4.839</v>
      </c>
      <c r="I146" s="12">
        <v>16.78</v>
      </c>
      <c r="J146" s="10">
        <f t="shared" si="36"/>
        <v>138</v>
      </c>
      <c r="K146" s="34">
        <f t="shared" si="32"/>
        <v>39.79238754</v>
      </c>
      <c r="L146" s="30">
        <f t="shared" si="33"/>
        <v>0.4686486486</v>
      </c>
      <c r="M146" s="39">
        <f t="shared" si="34"/>
        <v>3.932</v>
      </c>
      <c r="N146" s="60">
        <f t="shared" si="35"/>
        <v>157.28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33">
        <v>45197.0</v>
      </c>
      <c r="B147" s="58">
        <v>0.5416666666666666</v>
      </c>
      <c r="C147" s="8" t="s">
        <v>285</v>
      </c>
      <c r="D147" s="8" t="s">
        <v>102</v>
      </c>
      <c r="E147" s="8">
        <v>51560.0</v>
      </c>
      <c r="F147" s="8" t="s">
        <v>209</v>
      </c>
      <c r="G147" s="35">
        <v>4.158</v>
      </c>
      <c r="H147" s="35">
        <v>5.589</v>
      </c>
      <c r="I147" s="12">
        <v>23.24</v>
      </c>
      <c r="J147" s="10">
        <f t="shared" si="36"/>
        <v>215</v>
      </c>
      <c r="K147" s="34">
        <f t="shared" si="32"/>
        <v>51.70755171</v>
      </c>
      <c r="L147" s="30">
        <f t="shared" si="33"/>
        <v>0.5618918919</v>
      </c>
      <c r="M147" s="39">
        <f t="shared" si="34"/>
        <v>3.242</v>
      </c>
      <c r="N147" s="60">
        <f t="shared" si="35"/>
        <v>129.68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33">
        <v>45198.0</v>
      </c>
      <c r="B148" s="58">
        <v>0.4513888888888889</v>
      </c>
      <c r="C148" s="8" t="s">
        <v>286</v>
      </c>
      <c r="D148" s="8" t="s">
        <v>44</v>
      </c>
      <c r="E148" s="8">
        <v>51713.0</v>
      </c>
      <c r="F148" s="8" t="s">
        <v>112</v>
      </c>
      <c r="G148" s="35">
        <v>4.079</v>
      </c>
      <c r="H148" s="35">
        <v>6.699</v>
      </c>
      <c r="I148" s="12">
        <v>27.33</v>
      </c>
      <c r="J148" s="10">
        <f t="shared" si="36"/>
        <v>153</v>
      </c>
      <c r="K148" s="34">
        <f t="shared" si="32"/>
        <v>37.50919343</v>
      </c>
      <c r="L148" s="30">
        <f t="shared" si="33"/>
        <v>0.5512162162</v>
      </c>
      <c r="M148" s="39">
        <f t="shared" si="34"/>
        <v>3.321</v>
      </c>
      <c r="N148" s="60">
        <f t="shared" si="35"/>
        <v>132.84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33">
        <v>45198.0</v>
      </c>
      <c r="B149" s="58">
        <v>0.5777777777777777</v>
      </c>
      <c r="C149" s="8" t="s">
        <v>277</v>
      </c>
      <c r="D149" s="8" t="s">
        <v>44</v>
      </c>
      <c r="E149" s="8">
        <v>51870.0</v>
      </c>
      <c r="F149" s="8" t="s">
        <v>116</v>
      </c>
      <c r="G149" s="35">
        <v>3.453</v>
      </c>
      <c r="H149" s="35">
        <v>5.999</v>
      </c>
      <c r="I149" s="12">
        <v>20.71</v>
      </c>
      <c r="J149" s="10">
        <f t="shared" si="36"/>
        <v>157</v>
      </c>
      <c r="K149" s="34">
        <f t="shared" si="32"/>
        <v>45.46770924</v>
      </c>
      <c r="L149" s="30">
        <f t="shared" si="33"/>
        <v>0.4666216216</v>
      </c>
      <c r="M149" s="39">
        <f t="shared" si="34"/>
        <v>3.947</v>
      </c>
      <c r="N149" s="60">
        <f t="shared" si="35"/>
        <v>157.88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33">
        <v>45199.0</v>
      </c>
      <c r="B150" s="58">
        <v>0.4173611111111111</v>
      </c>
      <c r="C150" s="8" t="s">
        <v>287</v>
      </c>
      <c r="D150" s="8" t="s">
        <v>44</v>
      </c>
      <c r="E150" s="8">
        <v>52094.0</v>
      </c>
      <c r="F150" s="8" t="s">
        <v>116</v>
      </c>
      <c r="G150" s="35">
        <v>5.341</v>
      </c>
      <c r="H150" s="35">
        <v>5.859</v>
      </c>
      <c r="I150" s="12">
        <v>31.29</v>
      </c>
      <c r="J150" s="10">
        <f t="shared" si="36"/>
        <v>224</v>
      </c>
      <c r="K150" s="34">
        <f t="shared" si="32"/>
        <v>41.93971166</v>
      </c>
      <c r="L150" s="30">
        <f t="shared" si="33"/>
        <v>0.7217567568</v>
      </c>
      <c r="M150" s="39">
        <f t="shared" si="34"/>
        <v>2.059</v>
      </c>
      <c r="N150" s="60">
        <f t="shared" si="35"/>
        <v>82.36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33">
        <v>45200.0</v>
      </c>
      <c r="B151" s="58">
        <v>0.47152777777777777</v>
      </c>
      <c r="C151" s="8" t="s">
        <v>110</v>
      </c>
      <c r="D151" s="8" t="s">
        <v>44</v>
      </c>
      <c r="E151" s="8">
        <v>52302.0</v>
      </c>
      <c r="F151" s="8" t="s">
        <v>116</v>
      </c>
      <c r="G151" s="35">
        <v>5.046</v>
      </c>
      <c r="H151" s="35">
        <v>6.199</v>
      </c>
      <c r="I151" s="12">
        <v>31.28</v>
      </c>
      <c r="J151" s="10">
        <f t="shared" si="36"/>
        <v>208</v>
      </c>
      <c r="K151" s="34">
        <f t="shared" si="32"/>
        <v>41.22076893</v>
      </c>
      <c r="L151" s="30">
        <f t="shared" si="33"/>
        <v>0.6818918919</v>
      </c>
      <c r="M151" s="39">
        <f t="shared" si="34"/>
        <v>2.354</v>
      </c>
      <c r="N151" s="60">
        <f t="shared" si="35"/>
        <v>94.16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33">
        <v>45201.0</v>
      </c>
      <c r="B152" s="58">
        <v>0.4888888888888889</v>
      </c>
      <c r="C152" s="8" t="s">
        <v>46</v>
      </c>
      <c r="D152" s="8" t="s">
        <v>44</v>
      </c>
      <c r="E152" s="8">
        <v>52511.0</v>
      </c>
      <c r="F152" s="8" t="s">
        <v>116</v>
      </c>
      <c r="G152" s="35">
        <v>4.234</v>
      </c>
      <c r="H152" s="35">
        <v>5.999</v>
      </c>
      <c r="I152" s="12">
        <v>25.4</v>
      </c>
      <c r="J152" s="10">
        <f t="shared" si="36"/>
        <v>209</v>
      </c>
      <c r="K152" s="34">
        <f t="shared" si="32"/>
        <v>49.36230515</v>
      </c>
      <c r="L152" s="30">
        <f t="shared" si="33"/>
        <v>0.5721621622</v>
      </c>
      <c r="M152" s="39">
        <f t="shared" si="34"/>
        <v>3.166</v>
      </c>
      <c r="N152" s="60">
        <f t="shared" si="35"/>
        <v>126.64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39"/>
      <c r="H153" s="39"/>
      <c r="I153" s="60"/>
      <c r="J153" s="10"/>
      <c r="K153" s="34"/>
      <c r="L153" s="30"/>
      <c r="M153" s="10"/>
      <c r="N153" s="6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33">
        <v>45321.0</v>
      </c>
      <c r="B154" s="10"/>
      <c r="C154" s="8" t="s">
        <v>46</v>
      </c>
      <c r="D154" s="8" t="s">
        <v>44</v>
      </c>
      <c r="E154" s="8">
        <v>52656.0</v>
      </c>
      <c r="F154" s="8" t="s">
        <v>116</v>
      </c>
      <c r="G154" s="8">
        <v>4.028</v>
      </c>
      <c r="H154" s="35">
        <v>4.299</v>
      </c>
      <c r="I154" s="12">
        <v>17.32</v>
      </c>
      <c r="J154" s="10">
        <f>E154-E152</f>
        <v>145</v>
      </c>
      <c r="K154" s="34">
        <f>J154/G154</f>
        <v>35.9980139</v>
      </c>
      <c r="L154" s="30">
        <f>G154/7.4</f>
        <v>0.5443243243</v>
      </c>
      <c r="M154" s="10">
        <f>7.4-G154</f>
        <v>3.372</v>
      </c>
      <c r="N154" s="60">
        <f>M154*40</f>
        <v>134.88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39"/>
      <c r="H155" s="39"/>
      <c r="I155" s="60"/>
      <c r="J155" s="10"/>
      <c r="K155" s="34"/>
      <c r="L155" s="30"/>
      <c r="M155" s="10"/>
      <c r="N155" s="6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33">
        <v>45460.0</v>
      </c>
      <c r="B156" s="58">
        <v>0.5652777777777778</v>
      </c>
      <c r="C156" s="8" t="s">
        <v>224</v>
      </c>
      <c r="D156" s="8" t="s">
        <v>44</v>
      </c>
      <c r="E156" s="8">
        <v>52807.0</v>
      </c>
      <c r="F156" s="8" t="s">
        <v>196</v>
      </c>
      <c r="G156" s="35">
        <v>4.574</v>
      </c>
      <c r="H156" s="35">
        <v>5.299</v>
      </c>
      <c r="I156" s="12">
        <v>24.23</v>
      </c>
      <c r="J156" s="10">
        <f>E156-E154</f>
        <v>151</v>
      </c>
      <c r="K156" s="34">
        <f t="shared" ref="K156:K173" si="39">J156/G156</f>
        <v>33.01268037</v>
      </c>
      <c r="L156" s="30">
        <f t="shared" ref="L156:L173" si="40">G156/7.4</f>
        <v>0.6181081081</v>
      </c>
      <c r="M156" s="39">
        <f t="shared" ref="M156:M173" si="41">7.4-G156</f>
        <v>2.826</v>
      </c>
      <c r="N156" s="60">
        <f t="shared" ref="N156:N173" si="42">M156*40</f>
        <v>113.04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33">
        <v>45462.0</v>
      </c>
      <c r="B157" s="58">
        <v>0.37569444444444444</v>
      </c>
      <c r="C157" s="8" t="s">
        <v>160</v>
      </c>
      <c r="D157" s="8" t="s">
        <v>44</v>
      </c>
      <c r="E157" s="8">
        <v>52992.0</v>
      </c>
      <c r="F157" s="8" t="s">
        <v>164</v>
      </c>
      <c r="G157" s="35">
        <v>4.718</v>
      </c>
      <c r="H157" s="35">
        <v>5.699</v>
      </c>
      <c r="I157" s="12">
        <v>26.89</v>
      </c>
      <c r="J157" s="10">
        <f t="shared" ref="J157:J173" si="43">E157-E156</f>
        <v>185</v>
      </c>
      <c r="K157" s="34">
        <f t="shared" si="39"/>
        <v>39.21153031</v>
      </c>
      <c r="L157" s="30">
        <f t="shared" si="40"/>
        <v>0.6375675676</v>
      </c>
      <c r="M157" s="39">
        <f t="shared" si="41"/>
        <v>2.682</v>
      </c>
      <c r="N157" s="60">
        <f t="shared" si="42"/>
        <v>107.28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33">
        <v>45462.0</v>
      </c>
      <c r="B158" s="58">
        <v>0.5027777777777778</v>
      </c>
      <c r="C158" s="8" t="s">
        <v>290</v>
      </c>
      <c r="D158" s="8" t="s">
        <v>44</v>
      </c>
      <c r="E158" s="8">
        <v>53143.0</v>
      </c>
      <c r="F158" s="8" t="s">
        <v>291</v>
      </c>
      <c r="G158" s="35">
        <v>3.648</v>
      </c>
      <c r="H158" s="35">
        <v>4.499</v>
      </c>
      <c r="I158" s="12">
        <v>16.41</v>
      </c>
      <c r="J158" s="10">
        <f t="shared" si="43"/>
        <v>151</v>
      </c>
      <c r="K158" s="34">
        <f t="shared" si="39"/>
        <v>41.39254386</v>
      </c>
      <c r="L158" s="30">
        <f t="shared" si="40"/>
        <v>0.492972973</v>
      </c>
      <c r="M158" s="39">
        <f t="shared" si="41"/>
        <v>3.752</v>
      </c>
      <c r="N158" s="60">
        <f t="shared" si="42"/>
        <v>150.08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33">
        <v>45463.0</v>
      </c>
      <c r="B159" s="58">
        <v>0.74375</v>
      </c>
      <c r="C159" s="8" t="s">
        <v>292</v>
      </c>
      <c r="D159" s="8" t="s">
        <v>44</v>
      </c>
      <c r="E159" s="8">
        <v>53344.0</v>
      </c>
      <c r="F159" s="8" t="s">
        <v>293</v>
      </c>
      <c r="G159" s="35">
        <v>4.672</v>
      </c>
      <c r="H159" s="35">
        <v>5.159</v>
      </c>
      <c r="I159" s="12">
        <v>24.1</v>
      </c>
      <c r="J159" s="10">
        <f t="shared" si="43"/>
        <v>201</v>
      </c>
      <c r="K159" s="34">
        <f t="shared" si="39"/>
        <v>43.02226027</v>
      </c>
      <c r="L159" s="30">
        <f t="shared" si="40"/>
        <v>0.6313513514</v>
      </c>
      <c r="M159" s="39">
        <f t="shared" si="41"/>
        <v>2.728</v>
      </c>
      <c r="N159" s="60">
        <f t="shared" si="42"/>
        <v>109.12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33">
        <v>45465.0</v>
      </c>
      <c r="B160" s="58">
        <v>0.43333333333333335</v>
      </c>
      <c r="C160" s="8" t="s">
        <v>292</v>
      </c>
      <c r="D160" s="8" t="s">
        <v>44</v>
      </c>
      <c r="E160" s="8">
        <v>53486.0</v>
      </c>
      <c r="F160" s="8" t="s">
        <v>293</v>
      </c>
      <c r="G160" s="35">
        <v>2.971</v>
      </c>
      <c r="H160" s="8">
        <v>5.159</v>
      </c>
      <c r="I160" s="12">
        <v>15.33</v>
      </c>
      <c r="J160" s="10">
        <f t="shared" si="43"/>
        <v>142</v>
      </c>
      <c r="K160" s="34">
        <f t="shared" si="39"/>
        <v>47.7953551</v>
      </c>
      <c r="L160" s="30">
        <f t="shared" si="40"/>
        <v>0.4014864865</v>
      </c>
      <c r="M160" s="39">
        <f t="shared" si="41"/>
        <v>4.429</v>
      </c>
      <c r="N160" s="60">
        <f t="shared" si="42"/>
        <v>177.16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33">
        <v>45466.0</v>
      </c>
      <c r="B161" s="58">
        <v>0.42916666666666664</v>
      </c>
      <c r="C161" s="8" t="s">
        <v>294</v>
      </c>
      <c r="D161" s="8" t="s">
        <v>44</v>
      </c>
      <c r="E161" s="8">
        <v>53636.0</v>
      </c>
      <c r="F161" s="8" t="s">
        <v>112</v>
      </c>
      <c r="G161" s="35">
        <v>4.062</v>
      </c>
      <c r="H161" s="35">
        <v>6.299</v>
      </c>
      <c r="I161" s="12">
        <v>25.59</v>
      </c>
      <c r="J161" s="10">
        <f t="shared" si="43"/>
        <v>150</v>
      </c>
      <c r="K161" s="34">
        <f t="shared" si="39"/>
        <v>36.92762186</v>
      </c>
      <c r="L161" s="30">
        <f t="shared" si="40"/>
        <v>0.5489189189</v>
      </c>
      <c r="M161" s="39">
        <f t="shared" si="41"/>
        <v>3.338</v>
      </c>
      <c r="N161" s="60">
        <f t="shared" si="42"/>
        <v>133.52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33">
        <v>45467.0</v>
      </c>
      <c r="B162" s="58">
        <v>0.4527777777777778</v>
      </c>
      <c r="C162" s="8" t="s">
        <v>211</v>
      </c>
      <c r="D162" s="8" t="s">
        <v>42</v>
      </c>
      <c r="E162" s="8">
        <v>53811.0</v>
      </c>
      <c r="F162" s="8" t="s">
        <v>295</v>
      </c>
      <c r="G162" s="35">
        <v>3.653</v>
      </c>
      <c r="H162" s="35">
        <v>4.599</v>
      </c>
      <c r="I162" s="12">
        <v>16.8</v>
      </c>
      <c r="J162" s="10">
        <f t="shared" si="43"/>
        <v>175</v>
      </c>
      <c r="K162" s="34">
        <f t="shared" si="39"/>
        <v>47.90583082</v>
      </c>
      <c r="L162" s="30">
        <f t="shared" si="40"/>
        <v>0.4936486486</v>
      </c>
      <c r="M162" s="39">
        <f t="shared" si="41"/>
        <v>3.747</v>
      </c>
      <c r="N162" s="60">
        <f t="shared" si="42"/>
        <v>149.88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33">
        <v>45468.0</v>
      </c>
      <c r="B163" s="58">
        <v>0.3993055555555556</v>
      </c>
      <c r="C163" s="8" t="s">
        <v>212</v>
      </c>
      <c r="D163" s="8" t="s">
        <v>42</v>
      </c>
      <c r="E163" s="8">
        <v>53942.0</v>
      </c>
      <c r="F163" s="8" t="s">
        <v>126</v>
      </c>
      <c r="G163" s="35">
        <v>2.443</v>
      </c>
      <c r="H163" s="35">
        <v>4.159</v>
      </c>
      <c r="I163" s="12">
        <v>10.16</v>
      </c>
      <c r="J163" s="10">
        <f t="shared" si="43"/>
        <v>131</v>
      </c>
      <c r="K163" s="34">
        <f t="shared" si="39"/>
        <v>53.62259517</v>
      </c>
      <c r="L163" s="30">
        <f t="shared" si="40"/>
        <v>0.3301351351</v>
      </c>
      <c r="M163" s="39">
        <f t="shared" si="41"/>
        <v>4.957</v>
      </c>
      <c r="N163" s="60">
        <f t="shared" si="42"/>
        <v>198.28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33">
        <v>45468.0</v>
      </c>
      <c r="B164" s="58">
        <v>0.5138888888888888</v>
      </c>
      <c r="C164" s="8" t="s">
        <v>296</v>
      </c>
      <c r="D164" s="8" t="s">
        <v>42</v>
      </c>
      <c r="E164" s="8">
        <v>54116.0</v>
      </c>
      <c r="F164" s="8" t="s">
        <v>126</v>
      </c>
      <c r="G164" s="35">
        <v>4.53</v>
      </c>
      <c r="H164" s="35">
        <v>3.999</v>
      </c>
      <c r="I164" s="12">
        <v>18.12</v>
      </c>
      <c r="J164" s="10">
        <f t="shared" si="43"/>
        <v>174</v>
      </c>
      <c r="K164" s="34">
        <f t="shared" si="39"/>
        <v>38.41059603</v>
      </c>
      <c r="L164" s="30">
        <f t="shared" si="40"/>
        <v>0.6121621622</v>
      </c>
      <c r="M164" s="39">
        <f t="shared" si="41"/>
        <v>2.87</v>
      </c>
      <c r="N164" s="60">
        <f t="shared" si="42"/>
        <v>114.8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33">
        <v>45469.0</v>
      </c>
      <c r="B165" s="58">
        <v>0.5333333333333333</v>
      </c>
      <c r="C165" s="8" t="s">
        <v>297</v>
      </c>
      <c r="D165" s="8" t="s">
        <v>214</v>
      </c>
      <c r="E165" s="8">
        <v>54336.0</v>
      </c>
      <c r="F165" s="8" t="s">
        <v>112</v>
      </c>
      <c r="G165" s="35">
        <v>5.093</v>
      </c>
      <c r="H165" s="8">
        <v>3.999</v>
      </c>
      <c r="I165" s="12">
        <v>20.37</v>
      </c>
      <c r="J165" s="10">
        <f t="shared" si="43"/>
        <v>220</v>
      </c>
      <c r="K165" s="34">
        <f t="shared" si="39"/>
        <v>43.19654428</v>
      </c>
      <c r="L165" s="30">
        <f t="shared" si="40"/>
        <v>0.6882432432</v>
      </c>
      <c r="M165" s="39">
        <f t="shared" si="41"/>
        <v>2.307</v>
      </c>
      <c r="N165" s="60">
        <f t="shared" si="42"/>
        <v>92.28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33">
        <v>45470.0</v>
      </c>
      <c r="B166" s="58">
        <v>0.37569444444444444</v>
      </c>
      <c r="C166" s="8" t="s">
        <v>215</v>
      </c>
      <c r="D166" s="8" t="s">
        <v>216</v>
      </c>
      <c r="E166" s="8">
        <v>54513.0</v>
      </c>
      <c r="F166" s="8" t="s">
        <v>196</v>
      </c>
      <c r="G166" s="35">
        <v>4.125</v>
      </c>
      <c r="H166" s="35">
        <v>4.599</v>
      </c>
      <c r="I166" s="12">
        <v>18.97</v>
      </c>
      <c r="J166" s="10">
        <f t="shared" si="43"/>
        <v>177</v>
      </c>
      <c r="K166" s="34">
        <f t="shared" si="39"/>
        <v>42.90909091</v>
      </c>
      <c r="L166" s="30">
        <f t="shared" si="40"/>
        <v>0.5574324324</v>
      </c>
      <c r="M166" s="39">
        <f t="shared" si="41"/>
        <v>3.275</v>
      </c>
      <c r="N166" s="60">
        <f t="shared" si="42"/>
        <v>131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33">
        <v>45471.0</v>
      </c>
      <c r="B167" s="58">
        <v>0.6590277777777778</v>
      </c>
      <c r="C167" s="8" t="s">
        <v>215</v>
      </c>
      <c r="D167" s="8" t="s">
        <v>216</v>
      </c>
      <c r="E167" s="8">
        <v>54770.0</v>
      </c>
      <c r="F167" s="8" t="s">
        <v>149</v>
      </c>
      <c r="G167" s="35">
        <v>4.955</v>
      </c>
      <c r="H167" s="35">
        <v>4.549</v>
      </c>
      <c r="I167" s="12">
        <v>22.54</v>
      </c>
      <c r="J167" s="10">
        <f t="shared" si="43"/>
        <v>257</v>
      </c>
      <c r="K167" s="34">
        <f t="shared" si="39"/>
        <v>51.86680121</v>
      </c>
      <c r="L167" s="30">
        <f t="shared" si="40"/>
        <v>0.6695945946</v>
      </c>
      <c r="M167" s="39">
        <f t="shared" si="41"/>
        <v>2.445</v>
      </c>
      <c r="N167" s="60">
        <f t="shared" si="42"/>
        <v>97.8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33">
        <v>45473.0</v>
      </c>
      <c r="B168" s="58">
        <v>0.3972222222222222</v>
      </c>
      <c r="C168" s="8" t="s">
        <v>217</v>
      </c>
      <c r="D168" s="8" t="s">
        <v>218</v>
      </c>
      <c r="E168" s="8">
        <v>54905.0</v>
      </c>
      <c r="F168" s="8" t="s">
        <v>112</v>
      </c>
      <c r="G168" s="35">
        <v>2.17</v>
      </c>
      <c r="H168" s="35">
        <v>4.399</v>
      </c>
      <c r="I168" s="12">
        <v>9.55</v>
      </c>
      <c r="J168" s="10">
        <f t="shared" si="43"/>
        <v>135</v>
      </c>
      <c r="K168" s="34">
        <f t="shared" si="39"/>
        <v>62.21198157</v>
      </c>
      <c r="L168" s="30">
        <f t="shared" si="40"/>
        <v>0.2932432432</v>
      </c>
      <c r="M168" s="39">
        <f t="shared" si="41"/>
        <v>5.23</v>
      </c>
      <c r="N168" s="60">
        <f t="shared" si="42"/>
        <v>209.2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33">
        <v>45473.0</v>
      </c>
      <c r="B169" s="58">
        <v>0.49444444444444446</v>
      </c>
      <c r="C169" s="8" t="s">
        <v>298</v>
      </c>
      <c r="D169" s="8" t="s">
        <v>218</v>
      </c>
      <c r="E169" s="8">
        <v>55023.0</v>
      </c>
      <c r="F169" s="8" t="s">
        <v>275</v>
      </c>
      <c r="G169" s="35">
        <v>3.918</v>
      </c>
      <c r="H169" s="35">
        <v>4.129</v>
      </c>
      <c r="I169" s="12">
        <v>16.18</v>
      </c>
      <c r="J169" s="10">
        <f t="shared" si="43"/>
        <v>118</v>
      </c>
      <c r="K169" s="34">
        <f t="shared" si="39"/>
        <v>30.11740684</v>
      </c>
      <c r="L169" s="30">
        <f t="shared" si="40"/>
        <v>0.5294594595</v>
      </c>
      <c r="M169" s="39">
        <f t="shared" si="41"/>
        <v>3.482</v>
      </c>
      <c r="N169" s="60">
        <f t="shared" si="42"/>
        <v>139.28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33">
        <v>45474.0</v>
      </c>
      <c r="B170" s="58">
        <v>0.40208333333333335</v>
      </c>
      <c r="C170" s="8" t="s">
        <v>299</v>
      </c>
      <c r="D170" s="8" t="s">
        <v>39</v>
      </c>
      <c r="E170" s="8">
        <v>55203.0</v>
      </c>
      <c r="F170" s="8" t="s">
        <v>116</v>
      </c>
      <c r="G170" s="35">
        <v>3.777</v>
      </c>
      <c r="H170" s="35">
        <v>3.599</v>
      </c>
      <c r="I170" s="12">
        <v>13.59</v>
      </c>
      <c r="J170" s="10">
        <f t="shared" si="43"/>
        <v>180</v>
      </c>
      <c r="K170" s="34">
        <f t="shared" si="39"/>
        <v>47.65687053</v>
      </c>
      <c r="L170" s="30">
        <f t="shared" si="40"/>
        <v>0.5104054054</v>
      </c>
      <c r="M170" s="39">
        <f t="shared" si="41"/>
        <v>3.623</v>
      </c>
      <c r="N170" s="60">
        <f t="shared" si="42"/>
        <v>144.92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33">
        <v>45474.0</v>
      </c>
      <c r="B171" s="58">
        <v>0.5208333333333334</v>
      </c>
      <c r="C171" s="8" t="s">
        <v>300</v>
      </c>
      <c r="D171" s="8" t="s">
        <v>39</v>
      </c>
      <c r="E171" s="8">
        <v>55396.0</v>
      </c>
      <c r="F171" s="8" t="s">
        <v>126</v>
      </c>
      <c r="G171" s="35">
        <v>5.482</v>
      </c>
      <c r="H171" s="35">
        <v>3.929</v>
      </c>
      <c r="I171" s="12">
        <v>21.54</v>
      </c>
      <c r="J171" s="10">
        <f t="shared" si="43"/>
        <v>193</v>
      </c>
      <c r="K171" s="34">
        <f t="shared" si="39"/>
        <v>35.20612915</v>
      </c>
      <c r="L171" s="30">
        <f t="shared" si="40"/>
        <v>0.7408108108</v>
      </c>
      <c r="M171" s="39">
        <f t="shared" si="41"/>
        <v>1.918</v>
      </c>
      <c r="N171" s="60">
        <f t="shared" si="42"/>
        <v>76.72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33">
        <v>45474.0</v>
      </c>
      <c r="B172" s="58">
        <v>0.8118055555555556</v>
      </c>
      <c r="C172" s="8" t="s">
        <v>177</v>
      </c>
      <c r="D172" s="8" t="s">
        <v>42</v>
      </c>
      <c r="E172" s="8">
        <v>55586.0</v>
      </c>
      <c r="F172" s="8" t="s">
        <v>116</v>
      </c>
      <c r="G172" s="35">
        <v>5.096</v>
      </c>
      <c r="H172" s="35">
        <v>3.949</v>
      </c>
      <c r="I172" s="12">
        <v>20.12</v>
      </c>
      <c r="J172" s="10">
        <f t="shared" si="43"/>
        <v>190</v>
      </c>
      <c r="K172" s="34">
        <f t="shared" si="39"/>
        <v>37.28414443</v>
      </c>
      <c r="L172" s="30">
        <f t="shared" si="40"/>
        <v>0.6886486486</v>
      </c>
      <c r="M172" s="39">
        <f t="shared" si="41"/>
        <v>2.304</v>
      </c>
      <c r="N172" s="60">
        <f t="shared" si="42"/>
        <v>92.16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33">
        <v>45475.0</v>
      </c>
      <c r="B173" s="58">
        <v>0.5048611111111111</v>
      </c>
      <c r="C173" s="8" t="s">
        <v>47</v>
      </c>
      <c r="D173" s="8" t="s">
        <v>44</v>
      </c>
      <c r="E173" s="8">
        <v>55743.0</v>
      </c>
      <c r="F173" s="8" t="s">
        <v>126</v>
      </c>
      <c r="G173" s="35">
        <v>4.601</v>
      </c>
      <c r="H173" s="35">
        <v>4.959</v>
      </c>
      <c r="I173" s="12">
        <v>22.82</v>
      </c>
      <c r="J173" s="10">
        <f t="shared" si="43"/>
        <v>157</v>
      </c>
      <c r="K173" s="34">
        <f t="shared" si="39"/>
        <v>34.12301674</v>
      </c>
      <c r="L173" s="30">
        <f t="shared" si="40"/>
        <v>0.6217567568</v>
      </c>
      <c r="M173" s="39">
        <f t="shared" si="41"/>
        <v>2.799</v>
      </c>
      <c r="N173" s="60">
        <f t="shared" si="42"/>
        <v>111.96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39"/>
      <c r="H174" s="39"/>
      <c r="I174" s="60"/>
      <c r="J174" s="10"/>
      <c r="K174" s="34"/>
      <c r="L174" s="30"/>
      <c r="M174" s="10"/>
      <c r="N174" s="6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39"/>
      <c r="H175" s="39"/>
      <c r="I175" s="60"/>
      <c r="J175" s="10"/>
      <c r="K175" s="34"/>
      <c r="L175" s="30"/>
      <c r="M175" s="10"/>
      <c r="N175" s="6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33">
        <v>45555.0</v>
      </c>
      <c r="B176" s="58">
        <v>0.4375</v>
      </c>
      <c r="C176" s="8" t="s">
        <v>46</v>
      </c>
      <c r="D176" s="8" t="s">
        <v>44</v>
      </c>
      <c r="E176" s="8">
        <v>55901.0</v>
      </c>
      <c r="F176" s="8" t="s">
        <v>116</v>
      </c>
      <c r="G176" s="35">
        <v>3.697</v>
      </c>
      <c r="H176" s="35">
        <v>4.299</v>
      </c>
      <c r="I176" s="12">
        <v>15.89</v>
      </c>
      <c r="J176" s="10">
        <f>E176-E173</f>
        <v>158</v>
      </c>
      <c r="K176" s="34">
        <f t="shared" ref="K176:K196" si="44">J176/G176</f>
        <v>42.73735461</v>
      </c>
      <c r="L176" s="30">
        <f t="shared" ref="L176:L196" si="45">G176/7.4</f>
        <v>0.4995945946</v>
      </c>
      <c r="M176" s="39">
        <f t="shared" ref="M176:M196" si="46">7.4-G176</f>
        <v>3.703</v>
      </c>
      <c r="N176" s="60">
        <f t="shared" ref="N176:N196" si="47">M176*40</f>
        <v>148.12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33">
        <v>45560.0</v>
      </c>
      <c r="B177" s="58">
        <v>0.45694444444444443</v>
      </c>
      <c r="C177" s="8" t="s">
        <v>301</v>
      </c>
      <c r="D177" s="8" t="s">
        <v>44</v>
      </c>
      <c r="E177" s="8">
        <v>56071.0</v>
      </c>
      <c r="F177" s="8" t="s">
        <v>116</v>
      </c>
      <c r="G177" s="35">
        <v>4.754</v>
      </c>
      <c r="H177" s="35">
        <v>4.119</v>
      </c>
      <c r="I177" s="12">
        <v>19.58</v>
      </c>
      <c r="J177" s="10">
        <f t="shared" ref="J177:J196" si="48">E177-E176</f>
        <v>170</v>
      </c>
      <c r="K177" s="34">
        <f t="shared" si="44"/>
        <v>35.75936054</v>
      </c>
      <c r="L177" s="30">
        <f t="shared" si="45"/>
        <v>0.6424324324</v>
      </c>
      <c r="M177" s="39">
        <f t="shared" si="46"/>
        <v>2.646</v>
      </c>
      <c r="N177" s="60">
        <f t="shared" si="47"/>
        <v>105.84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33">
        <v>45572.0</v>
      </c>
      <c r="B178" s="58">
        <v>0.6409722222222223</v>
      </c>
      <c r="C178" s="8" t="s">
        <v>302</v>
      </c>
      <c r="D178" s="8" t="s">
        <v>44</v>
      </c>
      <c r="E178" s="8">
        <v>56262.0</v>
      </c>
      <c r="F178" s="8" t="s">
        <v>116</v>
      </c>
      <c r="G178" s="35">
        <v>4.807</v>
      </c>
      <c r="H178" s="35">
        <v>4.299</v>
      </c>
      <c r="I178" s="12">
        <v>20.67</v>
      </c>
      <c r="J178" s="10">
        <f t="shared" si="48"/>
        <v>191</v>
      </c>
      <c r="K178" s="34">
        <f t="shared" si="44"/>
        <v>39.73372166</v>
      </c>
      <c r="L178" s="30">
        <f t="shared" si="45"/>
        <v>0.6495945946</v>
      </c>
      <c r="M178" s="39">
        <f t="shared" si="46"/>
        <v>2.593</v>
      </c>
      <c r="N178" s="60">
        <f t="shared" si="47"/>
        <v>103.72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33">
        <v>45573.0</v>
      </c>
      <c r="B179" s="58">
        <v>0.39444444444444443</v>
      </c>
      <c r="C179" s="8" t="s">
        <v>220</v>
      </c>
      <c r="D179" s="8" t="s">
        <v>51</v>
      </c>
      <c r="E179" s="8">
        <v>56413.0</v>
      </c>
      <c r="F179" s="8" t="s">
        <v>196</v>
      </c>
      <c r="G179" s="35">
        <v>3.934</v>
      </c>
      <c r="H179" s="35">
        <v>3.699</v>
      </c>
      <c r="I179" s="12">
        <v>14.55</v>
      </c>
      <c r="J179" s="10">
        <f t="shared" si="48"/>
        <v>151</v>
      </c>
      <c r="K179" s="34">
        <f t="shared" si="44"/>
        <v>38.38332486</v>
      </c>
      <c r="L179" s="30">
        <f t="shared" si="45"/>
        <v>0.5316216216</v>
      </c>
      <c r="M179" s="39">
        <f t="shared" si="46"/>
        <v>3.466</v>
      </c>
      <c r="N179" s="60">
        <f t="shared" si="47"/>
        <v>138.64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33">
        <v>45573.0</v>
      </c>
      <c r="B180" s="58">
        <v>0.5090277777777777</v>
      </c>
      <c r="C180" s="8" t="s">
        <v>303</v>
      </c>
      <c r="D180" s="8" t="s">
        <v>51</v>
      </c>
      <c r="E180" s="8">
        <v>56588.0</v>
      </c>
      <c r="F180" s="8" t="s">
        <v>126</v>
      </c>
      <c r="G180" s="35">
        <v>4.562</v>
      </c>
      <c r="H180" s="35">
        <v>3.649</v>
      </c>
      <c r="I180" s="12">
        <v>16.65</v>
      </c>
      <c r="J180" s="10">
        <f t="shared" si="48"/>
        <v>175</v>
      </c>
      <c r="K180" s="34">
        <f t="shared" si="44"/>
        <v>38.36036826</v>
      </c>
      <c r="L180" s="30">
        <f t="shared" si="45"/>
        <v>0.6164864865</v>
      </c>
      <c r="M180" s="39">
        <f t="shared" si="46"/>
        <v>2.838</v>
      </c>
      <c r="N180" s="60">
        <f t="shared" si="47"/>
        <v>113.52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33">
        <v>45575.0</v>
      </c>
      <c r="B181" s="58">
        <v>0.4444444444444444</v>
      </c>
      <c r="C181" s="8" t="s">
        <v>222</v>
      </c>
      <c r="D181" s="8" t="s">
        <v>51</v>
      </c>
      <c r="E181" s="8">
        <v>56718.0</v>
      </c>
      <c r="F181" s="8" t="s">
        <v>121</v>
      </c>
      <c r="G181" s="35">
        <v>3.884</v>
      </c>
      <c r="H181" s="35">
        <v>3.829</v>
      </c>
      <c r="I181" s="12">
        <v>14.87</v>
      </c>
      <c r="J181" s="10">
        <f t="shared" si="48"/>
        <v>130</v>
      </c>
      <c r="K181" s="34">
        <f t="shared" si="44"/>
        <v>33.47064882</v>
      </c>
      <c r="L181" s="30">
        <f t="shared" si="45"/>
        <v>0.5248648649</v>
      </c>
      <c r="M181" s="39">
        <f t="shared" si="46"/>
        <v>3.516</v>
      </c>
      <c r="N181" s="60">
        <f t="shared" si="47"/>
        <v>140.64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33">
        <v>45575.0</v>
      </c>
      <c r="B182" s="58">
        <v>0.5798611111111112</v>
      </c>
      <c r="C182" s="8" t="s">
        <v>304</v>
      </c>
      <c r="D182" s="8" t="s">
        <v>54</v>
      </c>
      <c r="E182" s="8">
        <v>56864.0</v>
      </c>
      <c r="F182" s="8" t="s">
        <v>163</v>
      </c>
      <c r="G182" s="35">
        <v>4.477</v>
      </c>
      <c r="H182" s="35">
        <v>3.879</v>
      </c>
      <c r="I182" s="12">
        <v>17.37</v>
      </c>
      <c r="J182" s="10">
        <f t="shared" si="48"/>
        <v>146</v>
      </c>
      <c r="K182" s="34">
        <f t="shared" si="44"/>
        <v>32.61112352</v>
      </c>
      <c r="L182" s="30">
        <f t="shared" si="45"/>
        <v>0.605</v>
      </c>
      <c r="M182" s="39">
        <f t="shared" si="46"/>
        <v>2.923</v>
      </c>
      <c r="N182" s="60">
        <f t="shared" si="47"/>
        <v>116.92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33">
        <v>45576.0</v>
      </c>
      <c r="B183" s="58">
        <v>0.5444444444444444</v>
      </c>
      <c r="C183" s="8" t="s">
        <v>305</v>
      </c>
      <c r="D183" s="8" t="s">
        <v>54</v>
      </c>
      <c r="E183" s="8">
        <v>57068.0</v>
      </c>
      <c r="F183" s="8" t="s">
        <v>123</v>
      </c>
      <c r="G183" s="35">
        <v>4.168</v>
      </c>
      <c r="H183" s="35">
        <v>3.449</v>
      </c>
      <c r="I183" s="12">
        <v>14.38</v>
      </c>
      <c r="J183" s="10">
        <f t="shared" si="48"/>
        <v>204</v>
      </c>
      <c r="K183" s="34">
        <f t="shared" si="44"/>
        <v>48.94433781</v>
      </c>
      <c r="L183" s="30">
        <f t="shared" si="45"/>
        <v>0.5632432432</v>
      </c>
      <c r="M183" s="39">
        <f t="shared" si="46"/>
        <v>3.232</v>
      </c>
      <c r="N183" s="60">
        <f t="shared" si="47"/>
        <v>129.28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33">
        <v>45577.0</v>
      </c>
      <c r="B184" s="58">
        <v>0.5180555555555556</v>
      </c>
      <c r="C184" s="8" t="s">
        <v>306</v>
      </c>
      <c r="D184" s="8" t="s">
        <v>54</v>
      </c>
      <c r="E184" s="8">
        <v>57254.0</v>
      </c>
      <c r="F184" s="8" t="s">
        <v>307</v>
      </c>
      <c r="G184" s="35">
        <v>4.188</v>
      </c>
      <c r="H184" s="35">
        <v>3.599</v>
      </c>
      <c r="I184" s="12">
        <v>15.07</v>
      </c>
      <c r="J184" s="10">
        <f t="shared" si="48"/>
        <v>186</v>
      </c>
      <c r="K184" s="34">
        <f t="shared" si="44"/>
        <v>44.41260745</v>
      </c>
      <c r="L184" s="30">
        <f t="shared" si="45"/>
        <v>0.5659459459</v>
      </c>
      <c r="M184" s="39">
        <f t="shared" si="46"/>
        <v>3.212</v>
      </c>
      <c r="N184" s="60">
        <f t="shared" si="47"/>
        <v>128.48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33">
        <v>45577.0</v>
      </c>
      <c r="B185" s="58">
        <v>0.6013888888888889</v>
      </c>
      <c r="C185" s="8" t="s">
        <v>308</v>
      </c>
      <c r="D185" s="8" t="s">
        <v>54</v>
      </c>
      <c r="E185" s="8">
        <v>57349.0</v>
      </c>
      <c r="F185" s="8" t="s">
        <v>112</v>
      </c>
      <c r="G185" s="35">
        <v>2.356</v>
      </c>
      <c r="H185" s="35">
        <v>3.749</v>
      </c>
      <c r="I185" s="12">
        <v>8.83</v>
      </c>
      <c r="J185" s="10">
        <f t="shared" si="48"/>
        <v>95</v>
      </c>
      <c r="K185" s="34">
        <f t="shared" si="44"/>
        <v>40.32258065</v>
      </c>
      <c r="L185" s="30">
        <f t="shared" si="45"/>
        <v>0.3183783784</v>
      </c>
      <c r="M185" s="39">
        <f t="shared" si="46"/>
        <v>5.044</v>
      </c>
      <c r="N185" s="60">
        <f t="shared" si="47"/>
        <v>201.76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33">
        <v>45578.0</v>
      </c>
      <c r="B186" s="58">
        <v>0.38055555555555554</v>
      </c>
      <c r="C186" s="8" t="s">
        <v>229</v>
      </c>
      <c r="D186" s="8" t="s">
        <v>54</v>
      </c>
      <c r="E186" s="8">
        <v>57485.0</v>
      </c>
      <c r="F186" s="8" t="s">
        <v>126</v>
      </c>
      <c r="G186" s="35">
        <v>2.526</v>
      </c>
      <c r="H186" s="35">
        <v>3.549</v>
      </c>
      <c r="I186" s="12">
        <v>8.96</v>
      </c>
      <c r="J186" s="10">
        <f t="shared" si="48"/>
        <v>136</v>
      </c>
      <c r="K186" s="34">
        <f t="shared" si="44"/>
        <v>53.84006334</v>
      </c>
      <c r="L186" s="30">
        <f t="shared" si="45"/>
        <v>0.3413513514</v>
      </c>
      <c r="M186" s="39">
        <f t="shared" si="46"/>
        <v>4.874</v>
      </c>
      <c r="N186" s="60">
        <f t="shared" si="47"/>
        <v>194.96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33">
        <v>45578.0</v>
      </c>
      <c r="B187" s="58">
        <v>0.5222222222222223</v>
      </c>
      <c r="C187" s="8" t="s">
        <v>309</v>
      </c>
      <c r="D187" s="8" t="s">
        <v>310</v>
      </c>
      <c r="E187" s="8">
        <v>57640.0</v>
      </c>
      <c r="F187" s="8" t="s">
        <v>126</v>
      </c>
      <c r="G187" s="35">
        <v>4.734</v>
      </c>
      <c r="H187" s="8">
        <v>3.579</v>
      </c>
      <c r="I187" s="12">
        <v>16.94</v>
      </c>
      <c r="J187" s="10">
        <f t="shared" si="48"/>
        <v>155</v>
      </c>
      <c r="K187" s="34">
        <f t="shared" si="44"/>
        <v>32.74186734</v>
      </c>
      <c r="L187" s="30">
        <f t="shared" si="45"/>
        <v>0.6397297297</v>
      </c>
      <c r="M187" s="39">
        <f t="shared" si="46"/>
        <v>2.666</v>
      </c>
      <c r="N187" s="60">
        <f t="shared" si="47"/>
        <v>106.64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33">
        <v>45579.0</v>
      </c>
      <c r="B188" s="58">
        <v>0.45694444444444443</v>
      </c>
      <c r="C188" s="8" t="s">
        <v>311</v>
      </c>
      <c r="D188" s="8" t="s">
        <v>232</v>
      </c>
      <c r="E188" s="8">
        <v>57827.0</v>
      </c>
      <c r="F188" s="8" t="s">
        <v>126</v>
      </c>
      <c r="G188" s="35">
        <v>4.323</v>
      </c>
      <c r="H188" s="35">
        <v>3.479</v>
      </c>
      <c r="I188" s="12">
        <v>15.04</v>
      </c>
      <c r="J188" s="10">
        <f t="shared" si="48"/>
        <v>187</v>
      </c>
      <c r="K188" s="34">
        <f t="shared" si="44"/>
        <v>43.25699746</v>
      </c>
      <c r="L188" s="30">
        <f t="shared" si="45"/>
        <v>0.5841891892</v>
      </c>
      <c r="M188" s="39">
        <f t="shared" si="46"/>
        <v>3.077</v>
      </c>
      <c r="N188" s="60">
        <f t="shared" si="47"/>
        <v>123.08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33">
        <v>45579.0</v>
      </c>
      <c r="B189" s="58">
        <v>0.5381944444444444</v>
      </c>
      <c r="C189" s="8" t="s">
        <v>312</v>
      </c>
      <c r="D189" s="8" t="s">
        <v>232</v>
      </c>
      <c r="E189" s="8">
        <v>57951.0</v>
      </c>
      <c r="F189" s="8" t="s">
        <v>126</v>
      </c>
      <c r="G189" s="35">
        <v>3.182</v>
      </c>
      <c r="H189" s="35">
        <v>3.399</v>
      </c>
      <c r="I189" s="12">
        <v>10.81</v>
      </c>
      <c r="J189" s="10">
        <f t="shared" si="48"/>
        <v>124</v>
      </c>
      <c r="K189" s="34">
        <f t="shared" si="44"/>
        <v>38.96920176</v>
      </c>
      <c r="L189" s="30">
        <f t="shared" si="45"/>
        <v>0.43</v>
      </c>
      <c r="M189" s="39">
        <f t="shared" si="46"/>
        <v>4.218</v>
      </c>
      <c r="N189" s="60">
        <f t="shared" si="47"/>
        <v>168.72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33">
        <v>45580.0</v>
      </c>
      <c r="B190" s="58">
        <v>0.41944444444444445</v>
      </c>
      <c r="C190" s="8" t="s">
        <v>313</v>
      </c>
      <c r="D190" s="8" t="s">
        <v>232</v>
      </c>
      <c r="E190" s="8">
        <v>58070.0</v>
      </c>
      <c r="F190" s="8" t="s">
        <v>126</v>
      </c>
      <c r="G190" s="35">
        <v>2.707</v>
      </c>
      <c r="H190" s="35">
        <v>3.499</v>
      </c>
      <c r="I190" s="12">
        <v>9.47</v>
      </c>
      <c r="J190" s="10">
        <f t="shared" si="48"/>
        <v>119</v>
      </c>
      <c r="K190" s="34">
        <f t="shared" si="44"/>
        <v>43.96010344</v>
      </c>
      <c r="L190" s="30">
        <f t="shared" si="45"/>
        <v>0.3658108108</v>
      </c>
      <c r="M190" s="39">
        <f t="shared" si="46"/>
        <v>4.693</v>
      </c>
      <c r="N190" s="60">
        <f t="shared" si="47"/>
        <v>187.72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33">
        <v>45580.0</v>
      </c>
      <c r="B191" s="58">
        <v>0.5229166666666667</v>
      </c>
      <c r="C191" s="8" t="s">
        <v>314</v>
      </c>
      <c r="D191" s="8" t="s">
        <v>59</v>
      </c>
      <c r="E191" s="8">
        <v>58208.0</v>
      </c>
      <c r="F191" s="8" t="s">
        <v>315</v>
      </c>
      <c r="G191" s="35">
        <v>2.061</v>
      </c>
      <c r="H191" s="35">
        <v>3.349</v>
      </c>
      <c r="I191" s="12">
        <v>6.9</v>
      </c>
      <c r="J191" s="10">
        <f t="shared" si="48"/>
        <v>138</v>
      </c>
      <c r="K191" s="34">
        <f t="shared" si="44"/>
        <v>66.95778748</v>
      </c>
      <c r="L191" s="30">
        <f t="shared" si="45"/>
        <v>0.2785135135</v>
      </c>
      <c r="M191" s="39">
        <f t="shared" si="46"/>
        <v>5.339</v>
      </c>
      <c r="N191" s="60">
        <f t="shared" si="47"/>
        <v>213.56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33">
        <v>45581.0</v>
      </c>
      <c r="B192" s="58">
        <v>0.4479166666666667</v>
      </c>
      <c r="C192" s="8" t="s">
        <v>130</v>
      </c>
      <c r="D192" s="8" t="s">
        <v>24</v>
      </c>
      <c r="E192" s="8">
        <v>58278.0</v>
      </c>
      <c r="F192" s="8" t="s">
        <v>147</v>
      </c>
      <c r="G192" s="35">
        <v>3.75</v>
      </c>
      <c r="H192" s="35">
        <v>3.339</v>
      </c>
      <c r="I192" s="12">
        <v>12.52</v>
      </c>
      <c r="J192" s="10">
        <f t="shared" si="48"/>
        <v>70</v>
      </c>
      <c r="K192" s="34">
        <f t="shared" si="44"/>
        <v>18.66666667</v>
      </c>
      <c r="L192" s="30">
        <f t="shared" si="45"/>
        <v>0.5067567568</v>
      </c>
      <c r="M192" s="39">
        <f t="shared" si="46"/>
        <v>3.65</v>
      </c>
      <c r="N192" s="60">
        <f t="shared" si="47"/>
        <v>146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33">
        <v>45583.0</v>
      </c>
      <c r="B193" s="58">
        <v>0.4548611111111111</v>
      </c>
      <c r="C193" s="8" t="s">
        <v>130</v>
      </c>
      <c r="D193" s="8" t="s">
        <v>24</v>
      </c>
      <c r="E193" s="8">
        <v>58348.0</v>
      </c>
      <c r="F193" s="8" t="s">
        <v>147</v>
      </c>
      <c r="G193" s="35">
        <v>1.582</v>
      </c>
      <c r="H193" s="35">
        <v>3.299</v>
      </c>
      <c r="I193" s="12">
        <v>5.22</v>
      </c>
      <c r="J193" s="10">
        <f t="shared" si="48"/>
        <v>70</v>
      </c>
      <c r="K193" s="34">
        <f t="shared" si="44"/>
        <v>44.24778761</v>
      </c>
      <c r="L193" s="30">
        <f t="shared" si="45"/>
        <v>0.2137837838</v>
      </c>
      <c r="M193" s="39">
        <f t="shared" si="46"/>
        <v>5.818</v>
      </c>
      <c r="N193" s="60">
        <f t="shared" si="47"/>
        <v>232.72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33">
        <v>45583.0</v>
      </c>
      <c r="B194" s="58">
        <v>0.6569444444444444</v>
      </c>
      <c r="C194" s="8" t="s">
        <v>316</v>
      </c>
      <c r="D194" s="8" t="s">
        <v>63</v>
      </c>
      <c r="E194" s="8">
        <v>58520.0</v>
      </c>
      <c r="F194" s="8" t="s">
        <v>121</v>
      </c>
      <c r="G194" s="35">
        <v>3.87</v>
      </c>
      <c r="H194" s="35">
        <v>3.809</v>
      </c>
      <c r="I194" s="12">
        <v>14.74</v>
      </c>
      <c r="J194" s="10">
        <f t="shared" si="48"/>
        <v>172</v>
      </c>
      <c r="K194" s="34">
        <f t="shared" si="44"/>
        <v>44.44444444</v>
      </c>
      <c r="L194" s="30">
        <f t="shared" si="45"/>
        <v>0.522972973</v>
      </c>
      <c r="M194" s="39">
        <f t="shared" si="46"/>
        <v>3.53</v>
      </c>
      <c r="N194" s="60">
        <f t="shared" si="47"/>
        <v>141.2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33">
        <v>45584.0</v>
      </c>
      <c r="B195" s="58">
        <v>0.4909722222222222</v>
      </c>
      <c r="C195" s="8" t="s">
        <v>317</v>
      </c>
      <c r="D195" s="8" t="s">
        <v>63</v>
      </c>
      <c r="E195" s="8">
        <v>58677.0</v>
      </c>
      <c r="F195" s="8" t="s">
        <v>315</v>
      </c>
      <c r="G195" s="35">
        <v>4.145</v>
      </c>
      <c r="H195" s="35">
        <v>3.739</v>
      </c>
      <c r="I195" s="12">
        <v>15.5</v>
      </c>
      <c r="J195" s="10">
        <f t="shared" si="48"/>
        <v>157</v>
      </c>
      <c r="K195" s="34">
        <f t="shared" si="44"/>
        <v>37.87696019</v>
      </c>
      <c r="L195" s="30">
        <f t="shared" si="45"/>
        <v>0.5601351351</v>
      </c>
      <c r="M195" s="39">
        <f t="shared" si="46"/>
        <v>3.255</v>
      </c>
      <c r="N195" s="60">
        <f t="shared" si="47"/>
        <v>130.2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33">
        <v>45585.0</v>
      </c>
      <c r="B196" s="58">
        <v>0.5784722222222223</v>
      </c>
      <c r="C196" s="8" t="s">
        <v>318</v>
      </c>
      <c r="D196" s="8" t="s">
        <v>66</v>
      </c>
      <c r="E196" s="8">
        <v>58903.0</v>
      </c>
      <c r="F196" s="8" t="s">
        <v>126</v>
      </c>
      <c r="G196" s="35">
        <v>4.706</v>
      </c>
      <c r="H196" s="35">
        <v>3.949</v>
      </c>
      <c r="I196" s="12">
        <v>18.58</v>
      </c>
      <c r="J196" s="10">
        <f t="shared" si="48"/>
        <v>226</v>
      </c>
      <c r="K196" s="34">
        <f t="shared" si="44"/>
        <v>48.02379941</v>
      </c>
      <c r="L196" s="30">
        <f t="shared" si="45"/>
        <v>0.6359459459</v>
      </c>
      <c r="M196" s="39">
        <f t="shared" si="46"/>
        <v>2.694</v>
      </c>
      <c r="N196" s="60">
        <f t="shared" si="47"/>
        <v>107.76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39"/>
      <c r="H197" s="39"/>
      <c r="I197" s="60"/>
      <c r="J197" s="10"/>
      <c r="K197" s="34"/>
      <c r="L197" s="10"/>
      <c r="M197" s="10"/>
      <c r="N197" s="6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39"/>
      <c r="H198" s="39"/>
      <c r="I198" s="60"/>
      <c r="J198" s="10"/>
      <c r="K198" s="34"/>
      <c r="L198" s="10"/>
      <c r="M198" s="10"/>
      <c r="N198" s="6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39"/>
      <c r="H199" s="39"/>
      <c r="I199" s="60"/>
      <c r="J199" s="10"/>
      <c r="K199" s="34"/>
      <c r="L199" s="10"/>
      <c r="M199" s="10"/>
      <c r="N199" s="6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39"/>
      <c r="H200" s="39"/>
      <c r="I200" s="60"/>
      <c r="J200" s="10"/>
      <c r="K200" s="34"/>
      <c r="L200" s="10"/>
      <c r="M200" s="10"/>
      <c r="N200" s="6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39"/>
      <c r="H201" s="39"/>
      <c r="I201" s="60"/>
      <c r="J201" s="10"/>
      <c r="K201" s="34"/>
      <c r="L201" s="10"/>
      <c r="M201" s="10"/>
      <c r="N201" s="6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39"/>
      <c r="H202" s="39"/>
      <c r="I202" s="60"/>
      <c r="J202" s="10"/>
      <c r="K202" s="34"/>
      <c r="L202" s="10"/>
      <c r="M202" s="10"/>
      <c r="N202" s="6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39"/>
      <c r="H203" s="39"/>
      <c r="I203" s="60"/>
      <c r="J203" s="10"/>
      <c r="K203" s="34"/>
      <c r="L203" s="10"/>
      <c r="M203" s="10"/>
      <c r="N203" s="6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39"/>
      <c r="H204" s="39"/>
      <c r="I204" s="60"/>
      <c r="J204" s="10"/>
      <c r="K204" s="34"/>
      <c r="L204" s="10"/>
      <c r="M204" s="10"/>
      <c r="N204" s="6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39"/>
      <c r="H205" s="39"/>
      <c r="I205" s="60"/>
      <c r="J205" s="10"/>
      <c r="K205" s="34"/>
      <c r="L205" s="10"/>
      <c r="M205" s="10"/>
      <c r="N205" s="6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39"/>
      <c r="H206" s="39"/>
      <c r="I206" s="60"/>
      <c r="J206" s="10"/>
      <c r="K206" s="34"/>
      <c r="L206" s="10"/>
      <c r="M206" s="10"/>
      <c r="N206" s="6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39"/>
      <c r="H207" s="39"/>
      <c r="I207" s="60"/>
      <c r="J207" s="10"/>
      <c r="K207" s="34"/>
      <c r="L207" s="10"/>
      <c r="M207" s="10"/>
      <c r="N207" s="6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39"/>
      <c r="H208" s="39"/>
      <c r="I208" s="60"/>
      <c r="J208" s="10"/>
      <c r="K208" s="34"/>
      <c r="L208" s="10"/>
      <c r="M208" s="10"/>
      <c r="N208" s="6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39"/>
      <c r="H209" s="39"/>
      <c r="I209" s="60"/>
      <c r="J209" s="10"/>
      <c r="K209" s="34"/>
      <c r="L209" s="10"/>
      <c r="M209" s="10"/>
      <c r="N209" s="6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39"/>
      <c r="H210" s="39"/>
      <c r="I210" s="60"/>
      <c r="J210" s="10"/>
      <c r="K210" s="34"/>
      <c r="L210" s="10"/>
      <c r="M210" s="10"/>
      <c r="N210" s="6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39"/>
      <c r="H211" s="39"/>
      <c r="I211" s="60"/>
      <c r="J211" s="10"/>
      <c r="K211" s="34"/>
      <c r="L211" s="10"/>
      <c r="M211" s="10"/>
      <c r="N211" s="6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39"/>
      <c r="H212" s="39"/>
      <c r="I212" s="60"/>
      <c r="J212" s="10"/>
      <c r="K212" s="34"/>
      <c r="L212" s="10"/>
      <c r="M212" s="10"/>
      <c r="N212" s="6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39"/>
      <c r="H213" s="39"/>
      <c r="I213" s="60"/>
      <c r="J213" s="10"/>
      <c r="K213" s="34"/>
      <c r="L213" s="10"/>
      <c r="M213" s="10"/>
      <c r="N213" s="6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39"/>
      <c r="H214" s="39"/>
      <c r="I214" s="60"/>
      <c r="J214" s="10"/>
      <c r="K214" s="34"/>
      <c r="L214" s="10"/>
      <c r="M214" s="10"/>
      <c r="N214" s="6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39"/>
      <c r="H215" s="39"/>
      <c r="I215" s="60"/>
      <c r="J215" s="10"/>
      <c r="K215" s="34"/>
      <c r="L215" s="10"/>
      <c r="M215" s="10"/>
      <c r="N215" s="6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39"/>
      <c r="H216" s="39"/>
      <c r="I216" s="60"/>
      <c r="J216" s="10"/>
      <c r="K216" s="34"/>
      <c r="L216" s="10"/>
      <c r="M216" s="10"/>
      <c r="N216" s="6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39"/>
      <c r="H217" s="39"/>
      <c r="I217" s="60"/>
      <c r="J217" s="10"/>
      <c r="K217" s="34"/>
      <c r="L217" s="10"/>
      <c r="M217" s="10"/>
      <c r="N217" s="6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39"/>
      <c r="H218" s="39"/>
      <c r="I218" s="60"/>
      <c r="J218" s="10"/>
      <c r="K218" s="34"/>
      <c r="L218" s="10"/>
      <c r="M218" s="10"/>
      <c r="N218" s="6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39"/>
      <c r="H219" s="39"/>
      <c r="I219" s="60"/>
      <c r="J219" s="10"/>
      <c r="K219" s="34"/>
      <c r="L219" s="10"/>
      <c r="M219" s="10"/>
      <c r="N219" s="6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39"/>
      <c r="H220" s="39"/>
      <c r="I220" s="60"/>
      <c r="J220" s="10"/>
      <c r="K220" s="34"/>
      <c r="L220" s="10"/>
      <c r="M220" s="10"/>
      <c r="N220" s="6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39"/>
      <c r="H221" s="39"/>
      <c r="I221" s="60"/>
      <c r="J221" s="10"/>
      <c r="K221" s="34"/>
      <c r="L221" s="10"/>
      <c r="M221" s="10"/>
      <c r="N221" s="6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39"/>
      <c r="H222" s="39"/>
      <c r="I222" s="60"/>
      <c r="J222" s="10"/>
      <c r="K222" s="34"/>
      <c r="L222" s="10"/>
      <c r="M222" s="10"/>
      <c r="N222" s="6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39"/>
      <c r="H223" s="39"/>
      <c r="I223" s="60"/>
      <c r="J223" s="10"/>
      <c r="K223" s="34"/>
      <c r="L223" s="10"/>
      <c r="M223" s="10"/>
      <c r="N223" s="6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39"/>
      <c r="H224" s="39"/>
      <c r="I224" s="60"/>
      <c r="J224" s="10"/>
      <c r="K224" s="34"/>
      <c r="L224" s="10"/>
      <c r="M224" s="10"/>
      <c r="N224" s="6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39"/>
      <c r="H225" s="39"/>
      <c r="I225" s="60"/>
      <c r="J225" s="10"/>
      <c r="K225" s="34"/>
      <c r="L225" s="10"/>
      <c r="M225" s="10"/>
      <c r="N225" s="6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39"/>
      <c r="H226" s="39"/>
      <c r="I226" s="60"/>
      <c r="J226" s="10"/>
      <c r="K226" s="34"/>
      <c r="L226" s="10"/>
      <c r="M226" s="10"/>
      <c r="N226" s="6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39"/>
      <c r="H227" s="39"/>
      <c r="I227" s="60"/>
      <c r="J227" s="10"/>
      <c r="K227" s="34"/>
      <c r="L227" s="10"/>
      <c r="M227" s="10"/>
      <c r="N227" s="6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39"/>
      <c r="H228" s="39"/>
      <c r="I228" s="60"/>
      <c r="J228" s="10"/>
      <c r="K228" s="34"/>
      <c r="L228" s="10"/>
      <c r="M228" s="10"/>
      <c r="N228" s="6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39"/>
      <c r="H229" s="39"/>
      <c r="I229" s="60"/>
      <c r="J229" s="10"/>
      <c r="K229" s="34"/>
      <c r="L229" s="10"/>
      <c r="M229" s="10"/>
      <c r="N229" s="6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39"/>
      <c r="H230" s="39"/>
      <c r="I230" s="60"/>
      <c r="J230" s="10"/>
      <c r="K230" s="34"/>
      <c r="L230" s="10"/>
      <c r="M230" s="10"/>
      <c r="N230" s="6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39"/>
      <c r="H231" s="39"/>
      <c r="I231" s="60"/>
      <c r="J231" s="10"/>
      <c r="K231" s="34"/>
      <c r="L231" s="10"/>
      <c r="M231" s="10"/>
      <c r="N231" s="6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39"/>
      <c r="H232" s="39"/>
      <c r="I232" s="60"/>
      <c r="J232" s="10"/>
      <c r="K232" s="34"/>
      <c r="L232" s="10"/>
      <c r="M232" s="10"/>
      <c r="N232" s="6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39"/>
      <c r="H233" s="39"/>
      <c r="I233" s="60"/>
      <c r="J233" s="10"/>
      <c r="K233" s="34"/>
      <c r="L233" s="10"/>
      <c r="M233" s="10"/>
      <c r="N233" s="6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39"/>
      <c r="H234" s="39"/>
      <c r="I234" s="60"/>
      <c r="J234" s="10"/>
      <c r="K234" s="34"/>
      <c r="L234" s="10"/>
      <c r="M234" s="10"/>
      <c r="N234" s="6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39"/>
      <c r="H235" s="39"/>
      <c r="I235" s="60"/>
      <c r="J235" s="10"/>
      <c r="K235" s="34"/>
      <c r="L235" s="10"/>
      <c r="M235" s="10"/>
      <c r="N235" s="6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39"/>
      <c r="H236" s="39"/>
      <c r="I236" s="60"/>
      <c r="J236" s="10"/>
      <c r="K236" s="34"/>
      <c r="L236" s="10"/>
      <c r="M236" s="10"/>
      <c r="N236" s="6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39"/>
      <c r="H237" s="39"/>
      <c r="I237" s="60"/>
      <c r="J237" s="10"/>
      <c r="K237" s="34"/>
      <c r="L237" s="10"/>
      <c r="M237" s="10"/>
      <c r="N237" s="6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39"/>
      <c r="H238" s="39"/>
      <c r="I238" s="60"/>
      <c r="J238" s="10"/>
      <c r="K238" s="34"/>
      <c r="L238" s="10"/>
      <c r="M238" s="10"/>
      <c r="N238" s="6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39"/>
      <c r="H239" s="39"/>
      <c r="I239" s="60"/>
      <c r="J239" s="10"/>
      <c r="K239" s="34"/>
      <c r="L239" s="10"/>
      <c r="M239" s="10"/>
      <c r="N239" s="6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39"/>
      <c r="H240" s="39"/>
      <c r="I240" s="60"/>
      <c r="J240" s="10"/>
      <c r="K240" s="34"/>
      <c r="L240" s="10"/>
      <c r="M240" s="10"/>
      <c r="N240" s="6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39"/>
      <c r="H241" s="39"/>
      <c r="I241" s="60"/>
      <c r="J241" s="10"/>
      <c r="K241" s="34"/>
      <c r="L241" s="10"/>
      <c r="M241" s="10"/>
      <c r="N241" s="6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39"/>
      <c r="H242" s="39"/>
      <c r="I242" s="60"/>
      <c r="J242" s="10"/>
      <c r="K242" s="34"/>
      <c r="L242" s="10"/>
      <c r="M242" s="10"/>
      <c r="N242" s="6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39"/>
      <c r="H243" s="39"/>
      <c r="I243" s="60"/>
      <c r="J243" s="10"/>
      <c r="K243" s="34"/>
      <c r="L243" s="10"/>
      <c r="M243" s="10"/>
      <c r="N243" s="6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39"/>
      <c r="H244" s="39"/>
      <c r="I244" s="60"/>
      <c r="J244" s="10"/>
      <c r="K244" s="34"/>
      <c r="L244" s="10"/>
      <c r="M244" s="10"/>
      <c r="N244" s="6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39"/>
      <c r="H245" s="39"/>
      <c r="I245" s="60"/>
      <c r="J245" s="10"/>
      <c r="K245" s="34"/>
      <c r="L245" s="10"/>
      <c r="M245" s="10"/>
      <c r="N245" s="6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39"/>
      <c r="H246" s="39"/>
      <c r="I246" s="60"/>
      <c r="J246" s="10"/>
      <c r="K246" s="34"/>
      <c r="L246" s="10"/>
      <c r="M246" s="10"/>
      <c r="N246" s="6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39"/>
      <c r="H247" s="39"/>
      <c r="I247" s="60"/>
      <c r="J247" s="10"/>
      <c r="K247" s="34"/>
      <c r="L247" s="10"/>
      <c r="M247" s="10"/>
      <c r="N247" s="6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39"/>
      <c r="H248" s="39"/>
      <c r="I248" s="60"/>
      <c r="J248" s="10"/>
      <c r="K248" s="34"/>
      <c r="L248" s="10"/>
      <c r="M248" s="10"/>
      <c r="N248" s="6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39"/>
      <c r="H249" s="39"/>
      <c r="I249" s="60"/>
      <c r="J249" s="10"/>
      <c r="K249" s="34"/>
      <c r="L249" s="10"/>
      <c r="M249" s="10"/>
      <c r="N249" s="6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39"/>
      <c r="H250" s="39"/>
      <c r="I250" s="60"/>
      <c r="J250" s="10"/>
      <c r="K250" s="34"/>
      <c r="L250" s="10"/>
      <c r="M250" s="10"/>
      <c r="N250" s="6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39"/>
      <c r="H251" s="39"/>
      <c r="I251" s="60"/>
      <c r="J251" s="10"/>
      <c r="K251" s="34"/>
      <c r="L251" s="10"/>
      <c r="M251" s="10"/>
      <c r="N251" s="6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39"/>
      <c r="H252" s="39"/>
      <c r="I252" s="60"/>
      <c r="J252" s="10"/>
      <c r="K252" s="34"/>
      <c r="L252" s="10"/>
      <c r="M252" s="10"/>
      <c r="N252" s="6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39"/>
      <c r="H253" s="39"/>
      <c r="I253" s="60"/>
      <c r="J253" s="10"/>
      <c r="K253" s="34"/>
      <c r="L253" s="10"/>
      <c r="M253" s="10"/>
      <c r="N253" s="6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39"/>
      <c r="H254" s="39"/>
      <c r="I254" s="60"/>
      <c r="J254" s="10"/>
      <c r="K254" s="34"/>
      <c r="L254" s="10"/>
      <c r="M254" s="10"/>
      <c r="N254" s="6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39"/>
      <c r="H255" s="39"/>
      <c r="I255" s="60"/>
      <c r="J255" s="10"/>
      <c r="K255" s="34"/>
      <c r="L255" s="10"/>
      <c r="M255" s="10"/>
      <c r="N255" s="6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39"/>
      <c r="H256" s="39"/>
      <c r="I256" s="60"/>
      <c r="J256" s="10"/>
      <c r="K256" s="34"/>
      <c r="L256" s="10"/>
      <c r="M256" s="10"/>
      <c r="N256" s="6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39"/>
      <c r="H257" s="39"/>
      <c r="I257" s="60"/>
      <c r="J257" s="10"/>
      <c r="K257" s="34"/>
      <c r="L257" s="10"/>
      <c r="M257" s="10"/>
      <c r="N257" s="6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39"/>
      <c r="H258" s="39"/>
      <c r="I258" s="60"/>
      <c r="J258" s="10"/>
      <c r="K258" s="34"/>
      <c r="L258" s="10"/>
      <c r="M258" s="10"/>
      <c r="N258" s="6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39"/>
      <c r="H259" s="39"/>
      <c r="I259" s="60"/>
      <c r="J259" s="10"/>
      <c r="K259" s="34"/>
      <c r="L259" s="10"/>
      <c r="M259" s="10"/>
      <c r="N259" s="6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39"/>
      <c r="H260" s="39"/>
      <c r="I260" s="60"/>
      <c r="J260" s="10"/>
      <c r="K260" s="34"/>
      <c r="L260" s="10"/>
      <c r="M260" s="10"/>
      <c r="N260" s="6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39"/>
      <c r="H261" s="39"/>
      <c r="I261" s="60"/>
      <c r="J261" s="10"/>
      <c r="K261" s="34"/>
      <c r="L261" s="10"/>
      <c r="M261" s="10"/>
      <c r="N261" s="6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39"/>
      <c r="H262" s="39"/>
      <c r="I262" s="60"/>
      <c r="J262" s="10"/>
      <c r="K262" s="34"/>
      <c r="L262" s="10"/>
      <c r="M262" s="10"/>
      <c r="N262" s="6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39"/>
      <c r="H263" s="39"/>
      <c r="I263" s="60"/>
      <c r="J263" s="10"/>
      <c r="K263" s="34"/>
      <c r="L263" s="10"/>
      <c r="M263" s="10"/>
      <c r="N263" s="6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39"/>
      <c r="H264" s="39"/>
      <c r="I264" s="60"/>
      <c r="J264" s="10"/>
      <c r="K264" s="34"/>
      <c r="L264" s="10"/>
      <c r="M264" s="10"/>
      <c r="N264" s="6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39"/>
      <c r="H265" s="39"/>
      <c r="I265" s="60"/>
      <c r="J265" s="10"/>
      <c r="K265" s="34"/>
      <c r="L265" s="10"/>
      <c r="M265" s="10"/>
      <c r="N265" s="6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39"/>
      <c r="H266" s="39"/>
      <c r="I266" s="60"/>
      <c r="J266" s="10"/>
      <c r="K266" s="34"/>
      <c r="L266" s="10"/>
      <c r="M266" s="10"/>
      <c r="N266" s="6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39"/>
      <c r="H267" s="39"/>
      <c r="I267" s="60"/>
      <c r="J267" s="10"/>
      <c r="K267" s="34"/>
      <c r="L267" s="10"/>
      <c r="M267" s="10"/>
      <c r="N267" s="6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39"/>
      <c r="H268" s="39"/>
      <c r="I268" s="60"/>
      <c r="J268" s="10"/>
      <c r="K268" s="34"/>
      <c r="L268" s="10"/>
      <c r="M268" s="10"/>
      <c r="N268" s="6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39"/>
      <c r="H269" s="39"/>
      <c r="I269" s="60"/>
      <c r="J269" s="10"/>
      <c r="K269" s="34"/>
      <c r="L269" s="10"/>
      <c r="M269" s="10"/>
      <c r="N269" s="6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39"/>
      <c r="H270" s="39"/>
      <c r="I270" s="60"/>
      <c r="J270" s="10"/>
      <c r="K270" s="34"/>
      <c r="L270" s="10"/>
      <c r="M270" s="10"/>
      <c r="N270" s="6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39"/>
      <c r="H271" s="39"/>
      <c r="I271" s="60"/>
      <c r="J271" s="10"/>
      <c r="K271" s="34"/>
      <c r="L271" s="10"/>
      <c r="M271" s="10"/>
      <c r="N271" s="6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39"/>
      <c r="H272" s="39"/>
      <c r="I272" s="60"/>
      <c r="J272" s="10"/>
      <c r="K272" s="34"/>
      <c r="L272" s="10"/>
      <c r="M272" s="10"/>
      <c r="N272" s="6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39"/>
      <c r="H273" s="39"/>
      <c r="I273" s="60"/>
      <c r="J273" s="10"/>
      <c r="K273" s="34"/>
      <c r="L273" s="10"/>
      <c r="M273" s="10"/>
      <c r="N273" s="6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39"/>
      <c r="H274" s="39"/>
      <c r="I274" s="60"/>
      <c r="J274" s="10"/>
      <c r="K274" s="34"/>
      <c r="L274" s="10"/>
      <c r="M274" s="10"/>
      <c r="N274" s="6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39"/>
      <c r="H275" s="39"/>
      <c r="I275" s="60"/>
      <c r="J275" s="10"/>
      <c r="K275" s="34"/>
      <c r="L275" s="10"/>
      <c r="M275" s="10"/>
      <c r="N275" s="6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39"/>
      <c r="H276" s="39"/>
      <c r="I276" s="60"/>
      <c r="J276" s="10"/>
      <c r="K276" s="34"/>
      <c r="L276" s="10"/>
      <c r="M276" s="10"/>
      <c r="N276" s="6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39"/>
      <c r="H277" s="39"/>
      <c r="I277" s="60"/>
      <c r="J277" s="10"/>
      <c r="K277" s="34"/>
      <c r="L277" s="10"/>
      <c r="M277" s="10"/>
      <c r="N277" s="6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39"/>
      <c r="H278" s="39"/>
      <c r="I278" s="60"/>
      <c r="J278" s="10"/>
      <c r="K278" s="34"/>
      <c r="L278" s="10"/>
      <c r="M278" s="10"/>
      <c r="N278" s="6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39"/>
      <c r="H279" s="39"/>
      <c r="I279" s="60"/>
      <c r="J279" s="10"/>
      <c r="K279" s="34"/>
      <c r="L279" s="10"/>
      <c r="M279" s="10"/>
      <c r="N279" s="6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39"/>
      <c r="H280" s="39"/>
      <c r="I280" s="60"/>
      <c r="J280" s="10"/>
      <c r="K280" s="34"/>
      <c r="L280" s="10"/>
      <c r="M280" s="10"/>
      <c r="N280" s="6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39"/>
      <c r="H281" s="39"/>
      <c r="I281" s="60"/>
      <c r="J281" s="10"/>
      <c r="K281" s="34"/>
      <c r="L281" s="10"/>
      <c r="M281" s="10"/>
      <c r="N281" s="6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39"/>
      <c r="H282" s="39"/>
      <c r="I282" s="60"/>
      <c r="J282" s="10"/>
      <c r="K282" s="34"/>
      <c r="L282" s="10"/>
      <c r="M282" s="10"/>
      <c r="N282" s="6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39"/>
      <c r="H283" s="39"/>
      <c r="I283" s="60"/>
      <c r="J283" s="10"/>
      <c r="K283" s="34"/>
      <c r="L283" s="10"/>
      <c r="M283" s="10"/>
      <c r="N283" s="6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39"/>
      <c r="H284" s="39"/>
      <c r="I284" s="60"/>
      <c r="J284" s="10"/>
      <c r="K284" s="34"/>
      <c r="L284" s="10"/>
      <c r="M284" s="10"/>
      <c r="N284" s="6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39"/>
      <c r="H285" s="39"/>
      <c r="I285" s="60"/>
      <c r="J285" s="10"/>
      <c r="K285" s="34"/>
      <c r="L285" s="10"/>
      <c r="M285" s="10"/>
      <c r="N285" s="6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39"/>
      <c r="H286" s="39"/>
      <c r="I286" s="60"/>
      <c r="J286" s="10"/>
      <c r="K286" s="34"/>
      <c r="L286" s="10"/>
      <c r="M286" s="10"/>
      <c r="N286" s="6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39"/>
      <c r="H287" s="39"/>
      <c r="I287" s="60"/>
      <c r="J287" s="10"/>
      <c r="K287" s="34"/>
      <c r="L287" s="10"/>
      <c r="M287" s="10"/>
      <c r="N287" s="6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39"/>
      <c r="H288" s="39"/>
      <c r="I288" s="60"/>
      <c r="J288" s="10"/>
      <c r="K288" s="34"/>
      <c r="L288" s="10"/>
      <c r="M288" s="10"/>
      <c r="N288" s="6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39"/>
      <c r="H289" s="39"/>
      <c r="I289" s="60"/>
      <c r="J289" s="10"/>
      <c r="K289" s="34"/>
      <c r="L289" s="10"/>
      <c r="M289" s="10"/>
      <c r="N289" s="6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39"/>
      <c r="H290" s="39"/>
      <c r="I290" s="60"/>
      <c r="J290" s="10"/>
      <c r="K290" s="34"/>
      <c r="L290" s="10"/>
      <c r="M290" s="10"/>
      <c r="N290" s="6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39"/>
      <c r="H291" s="39"/>
      <c r="I291" s="60"/>
      <c r="J291" s="10"/>
      <c r="K291" s="34"/>
      <c r="L291" s="10"/>
      <c r="M291" s="10"/>
      <c r="N291" s="6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39"/>
      <c r="H292" s="39"/>
      <c r="I292" s="60"/>
      <c r="J292" s="10"/>
      <c r="K292" s="34"/>
      <c r="L292" s="10"/>
      <c r="M292" s="10"/>
      <c r="N292" s="6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39"/>
      <c r="H293" s="39"/>
      <c r="I293" s="60"/>
      <c r="J293" s="10"/>
      <c r="K293" s="34"/>
      <c r="L293" s="10"/>
      <c r="M293" s="10"/>
      <c r="N293" s="6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39"/>
      <c r="H294" s="39"/>
      <c r="I294" s="60"/>
      <c r="J294" s="10"/>
      <c r="K294" s="34"/>
      <c r="L294" s="10"/>
      <c r="M294" s="10"/>
      <c r="N294" s="6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39"/>
      <c r="H295" s="39"/>
      <c r="I295" s="60"/>
      <c r="J295" s="10"/>
      <c r="K295" s="34"/>
      <c r="L295" s="10"/>
      <c r="M295" s="10"/>
      <c r="N295" s="6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39"/>
      <c r="H296" s="39"/>
      <c r="I296" s="60"/>
      <c r="J296" s="10"/>
      <c r="K296" s="34"/>
      <c r="L296" s="10"/>
      <c r="M296" s="10"/>
      <c r="N296" s="6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39"/>
      <c r="H297" s="39"/>
      <c r="I297" s="60"/>
      <c r="J297" s="10"/>
      <c r="K297" s="34"/>
      <c r="L297" s="10"/>
      <c r="M297" s="10"/>
      <c r="N297" s="6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39"/>
      <c r="H298" s="39"/>
      <c r="I298" s="60"/>
      <c r="J298" s="10"/>
      <c r="K298" s="34"/>
      <c r="L298" s="10"/>
      <c r="M298" s="10"/>
      <c r="N298" s="6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39"/>
      <c r="H299" s="39"/>
      <c r="I299" s="60"/>
      <c r="J299" s="10"/>
      <c r="K299" s="34"/>
      <c r="L299" s="10"/>
      <c r="M299" s="10"/>
      <c r="N299" s="6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39"/>
      <c r="H300" s="39"/>
      <c r="I300" s="60"/>
      <c r="J300" s="10"/>
      <c r="K300" s="34"/>
      <c r="L300" s="10"/>
      <c r="M300" s="10"/>
      <c r="N300" s="6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39"/>
      <c r="H301" s="39"/>
      <c r="I301" s="60"/>
      <c r="J301" s="10"/>
      <c r="K301" s="34"/>
      <c r="L301" s="10"/>
      <c r="M301" s="10"/>
      <c r="N301" s="6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39"/>
      <c r="H302" s="39"/>
      <c r="I302" s="60"/>
      <c r="J302" s="10"/>
      <c r="K302" s="34"/>
      <c r="L302" s="10"/>
      <c r="M302" s="10"/>
      <c r="N302" s="6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39"/>
      <c r="H303" s="39"/>
      <c r="I303" s="60"/>
      <c r="J303" s="10"/>
      <c r="K303" s="34"/>
      <c r="L303" s="10"/>
      <c r="M303" s="10"/>
      <c r="N303" s="6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39"/>
      <c r="H304" s="39"/>
      <c r="I304" s="60"/>
      <c r="J304" s="10"/>
      <c r="K304" s="34"/>
      <c r="L304" s="10"/>
      <c r="M304" s="10"/>
      <c r="N304" s="6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39"/>
      <c r="H305" s="39"/>
      <c r="I305" s="60"/>
      <c r="J305" s="10"/>
      <c r="K305" s="34"/>
      <c r="L305" s="10"/>
      <c r="M305" s="10"/>
      <c r="N305" s="6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39"/>
      <c r="H306" s="39"/>
      <c r="I306" s="60"/>
      <c r="J306" s="10"/>
      <c r="K306" s="34"/>
      <c r="L306" s="10"/>
      <c r="M306" s="10"/>
      <c r="N306" s="6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39"/>
      <c r="H307" s="39"/>
      <c r="I307" s="60"/>
      <c r="J307" s="10"/>
      <c r="K307" s="34"/>
      <c r="L307" s="10"/>
      <c r="M307" s="10"/>
      <c r="N307" s="6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39"/>
      <c r="H308" s="39"/>
      <c r="I308" s="60"/>
      <c r="J308" s="10"/>
      <c r="K308" s="34"/>
      <c r="L308" s="10"/>
      <c r="M308" s="10"/>
      <c r="N308" s="6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39"/>
      <c r="H309" s="39"/>
      <c r="I309" s="60"/>
      <c r="J309" s="10"/>
      <c r="K309" s="34"/>
      <c r="L309" s="10"/>
      <c r="M309" s="10"/>
      <c r="N309" s="6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39"/>
      <c r="H310" s="39"/>
      <c r="I310" s="60"/>
      <c r="J310" s="10"/>
      <c r="K310" s="34"/>
      <c r="L310" s="10"/>
      <c r="M310" s="10"/>
      <c r="N310" s="6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39"/>
      <c r="H311" s="39"/>
      <c r="I311" s="60"/>
      <c r="J311" s="10"/>
      <c r="K311" s="34"/>
      <c r="L311" s="10"/>
      <c r="M311" s="10"/>
      <c r="N311" s="6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39"/>
      <c r="H312" s="39"/>
      <c r="I312" s="60"/>
      <c r="J312" s="10"/>
      <c r="K312" s="34"/>
      <c r="L312" s="10"/>
      <c r="M312" s="10"/>
      <c r="N312" s="6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39"/>
      <c r="H313" s="39"/>
      <c r="I313" s="60"/>
      <c r="J313" s="10"/>
      <c r="K313" s="34"/>
      <c r="L313" s="10"/>
      <c r="M313" s="10"/>
      <c r="N313" s="6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39"/>
      <c r="H314" s="39"/>
      <c r="I314" s="60"/>
      <c r="J314" s="10"/>
      <c r="K314" s="34"/>
      <c r="L314" s="10"/>
      <c r="M314" s="10"/>
      <c r="N314" s="6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39"/>
      <c r="H315" s="39"/>
      <c r="I315" s="60"/>
      <c r="J315" s="10"/>
      <c r="K315" s="34"/>
      <c r="L315" s="10"/>
      <c r="M315" s="10"/>
      <c r="N315" s="6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39"/>
      <c r="H316" s="39"/>
      <c r="I316" s="60"/>
      <c r="J316" s="10"/>
      <c r="K316" s="34"/>
      <c r="L316" s="10"/>
      <c r="M316" s="10"/>
      <c r="N316" s="6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39"/>
      <c r="H317" s="39"/>
      <c r="I317" s="60"/>
      <c r="J317" s="10"/>
      <c r="K317" s="34"/>
      <c r="L317" s="10"/>
      <c r="M317" s="10"/>
      <c r="N317" s="6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39"/>
      <c r="H318" s="39"/>
      <c r="I318" s="60"/>
      <c r="J318" s="10"/>
      <c r="K318" s="34"/>
      <c r="L318" s="10"/>
      <c r="M318" s="10"/>
      <c r="N318" s="6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39"/>
      <c r="H319" s="39"/>
      <c r="I319" s="60"/>
      <c r="J319" s="10"/>
      <c r="K319" s="34"/>
      <c r="L319" s="10"/>
      <c r="M319" s="10"/>
      <c r="N319" s="6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39"/>
      <c r="H320" s="39"/>
      <c r="I320" s="60"/>
      <c r="J320" s="10"/>
      <c r="K320" s="34"/>
      <c r="L320" s="10"/>
      <c r="M320" s="10"/>
      <c r="N320" s="6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39"/>
      <c r="H321" s="39"/>
      <c r="I321" s="60"/>
      <c r="J321" s="10"/>
      <c r="K321" s="34"/>
      <c r="L321" s="10"/>
      <c r="M321" s="10"/>
      <c r="N321" s="6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39"/>
      <c r="H322" s="39"/>
      <c r="I322" s="60"/>
      <c r="J322" s="10"/>
      <c r="K322" s="34"/>
      <c r="L322" s="10"/>
      <c r="M322" s="10"/>
      <c r="N322" s="6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39"/>
      <c r="H323" s="39"/>
      <c r="I323" s="60"/>
      <c r="J323" s="10"/>
      <c r="K323" s="34"/>
      <c r="L323" s="10"/>
      <c r="M323" s="10"/>
      <c r="N323" s="6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39"/>
      <c r="H324" s="39"/>
      <c r="I324" s="60"/>
      <c r="J324" s="10"/>
      <c r="K324" s="34"/>
      <c r="L324" s="10"/>
      <c r="M324" s="10"/>
      <c r="N324" s="6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39"/>
      <c r="H325" s="39"/>
      <c r="I325" s="60"/>
      <c r="J325" s="10"/>
      <c r="K325" s="34"/>
      <c r="L325" s="10"/>
      <c r="M325" s="10"/>
      <c r="N325" s="6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39"/>
      <c r="H326" s="39"/>
      <c r="I326" s="60"/>
      <c r="J326" s="10"/>
      <c r="K326" s="34"/>
      <c r="L326" s="10"/>
      <c r="M326" s="10"/>
      <c r="N326" s="6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39"/>
      <c r="H327" s="39"/>
      <c r="I327" s="60"/>
      <c r="J327" s="10"/>
      <c r="K327" s="34"/>
      <c r="L327" s="10"/>
      <c r="M327" s="10"/>
      <c r="N327" s="6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39"/>
      <c r="H328" s="39"/>
      <c r="I328" s="60"/>
      <c r="J328" s="10"/>
      <c r="K328" s="34"/>
      <c r="L328" s="10"/>
      <c r="M328" s="10"/>
      <c r="N328" s="6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39"/>
      <c r="H329" s="39"/>
      <c r="I329" s="60"/>
      <c r="J329" s="10"/>
      <c r="K329" s="34"/>
      <c r="L329" s="10"/>
      <c r="M329" s="10"/>
      <c r="N329" s="6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39"/>
      <c r="H330" s="39"/>
      <c r="I330" s="60"/>
      <c r="J330" s="10"/>
      <c r="K330" s="34"/>
      <c r="L330" s="10"/>
      <c r="M330" s="10"/>
      <c r="N330" s="6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39"/>
      <c r="H331" s="39"/>
      <c r="I331" s="60"/>
      <c r="J331" s="10"/>
      <c r="K331" s="34"/>
      <c r="L331" s="10"/>
      <c r="M331" s="10"/>
      <c r="N331" s="6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39"/>
      <c r="H332" s="39"/>
      <c r="I332" s="60"/>
      <c r="J332" s="10"/>
      <c r="K332" s="34"/>
      <c r="L332" s="10"/>
      <c r="M332" s="10"/>
      <c r="N332" s="6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39"/>
      <c r="H333" s="39"/>
      <c r="I333" s="60"/>
      <c r="J333" s="10"/>
      <c r="K333" s="34"/>
      <c r="L333" s="10"/>
      <c r="M333" s="10"/>
      <c r="N333" s="6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39"/>
      <c r="H334" s="39"/>
      <c r="I334" s="60"/>
      <c r="J334" s="10"/>
      <c r="K334" s="34"/>
      <c r="L334" s="10"/>
      <c r="M334" s="10"/>
      <c r="N334" s="6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39"/>
      <c r="H335" s="39"/>
      <c r="I335" s="60"/>
      <c r="J335" s="10"/>
      <c r="K335" s="34"/>
      <c r="L335" s="10"/>
      <c r="M335" s="10"/>
      <c r="N335" s="6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39"/>
      <c r="H336" s="39"/>
      <c r="I336" s="60"/>
      <c r="J336" s="10"/>
      <c r="K336" s="34"/>
      <c r="L336" s="10"/>
      <c r="M336" s="10"/>
      <c r="N336" s="6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39"/>
      <c r="H337" s="39"/>
      <c r="I337" s="60"/>
      <c r="J337" s="10"/>
      <c r="K337" s="34"/>
      <c r="L337" s="10"/>
      <c r="M337" s="10"/>
      <c r="N337" s="6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39"/>
      <c r="H338" s="39"/>
      <c r="I338" s="60"/>
      <c r="J338" s="10"/>
      <c r="K338" s="34"/>
      <c r="L338" s="10"/>
      <c r="M338" s="10"/>
      <c r="N338" s="6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39"/>
      <c r="H339" s="39"/>
      <c r="I339" s="60"/>
      <c r="J339" s="10"/>
      <c r="K339" s="34"/>
      <c r="L339" s="10"/>
      <c r="M339" s="10"/>
      <c r="N339" s="6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39"/>
      <c r="H340" s="39"/>
      <c r="I340" s="60"/>
      <c r="J340" s="10"/>
      <c r="K340" s="34"/>
      <c r="L340" s="10"/>
      <c r="M340" s="10"/>
      <c r="N340" s="6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39"/>
      <c r="H341" s="39"/>
      <c r="I341" s="60"/>
      <c r="J341" s="10"/>
      <c r="K341" s="34"/>
      <c r="L341" s="10"/>
      <c r="M341" s="10"/>
      <c r="N341" s="6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39"/>
      <c r="H342" s="39"/>
      <c r="I342" s="60"/>
      <c r="J342" s="10"/>
      <c r="K342" s="34"/>
      <c r="L342" s="10"/>
      <c r="M342" s="10"/>
      <c r="N342" s="6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39"/>
      <c r="H343" s="39"/>
      <c r="I343" s="60"/>
      <c r="J343" s="10"/>
      <c r="K343" s="34"/>
      <c r="L343" s="10"/>
      <c r="M343" s="10"/>
      <c r="N343" s="6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39"/>
      <c r="H344" s="39"/>
      <c r="I344" s="60"/>
      <c r="J344" s="10"/>
      <c r="K344" s="34"/>
      <c r="L344" s="10"/>
      <c r="M344" s="10"/>
      <c r="N344" s="6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39"/>
      <c r="H345" s="39"/>
      <c r="I345" s="60"/>
      <c r="J345" s="10"/>
      <c r="K345" s="34"/>
      <c r="L345" s="10"/>
      <c r="M345" s="10"/>
      <c r="N345" s="6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39"/>
      <c r="H346" s="39"/>
      <c r="I346" s="60"/>
      <c r="J346" s="10"/>
      <c r="K346" s="34"/>
      <c r="L346" s="10"/>
      <c r="M346" s="10"/>
      <c r="N346" s="6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39"/>
      <c r="H347" s="39"/>
      <c r="I347" s="60"/>
      <c r="J347" s="10"/>
      <c r="K347" s="34"/>
      <c r="L347" s="10"/>
      <c r="M347" s="10"/>
      <c r="N347" s="6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39"/>
      <c r="H348" s="39"/>
      <c r="I348" s="60"/>
      <c r="J348" s="10"/>
      <c r="K348" s="34"/>
      <c r="L348" s="10"/>
      <c r="M348" s="10"/>
      <c r="N348" s="6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39"/>
      <c r="H349" s="39"/>
      <c r="I349" s="60"/>
      <c r="J349" s="10"/>
      <c r="K349" s="34"/>
      <c r="L349" s="10"/>
      <c r="M349" s="10"/>
      <c r="N349" s="6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39"/>
      <c r="H350" s="39"/>
      <c r="I350" s="60"/>
      <c r="J350" s="10"/>
      <c r="K350" s="34"/>
      <c r="L350" s="10"/>
      <c r="M350" s="10"/>
      <c r="N350" s="6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39"/>
      <c r="H351" s="39"/>
      <c r="I351" s="60"/>
      <c r="J351" s="10"/>
      <c r="K351" s="34"/>
      <c r="L351" s="10"/>
      <c r="M351" s="10"/>
      <c r="N351" s="6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39"/>
      <c r="H352" s="39"/>
      <c r="I352" s="60"/>
      <c r="J352" s="10"/>
      <c r="K352" s="34"/>
      <c r="L352" s="10"/>
      <c r="M352" s="10"/>
      <c r="N352" s="6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39"/>
      <c r="H353" s="39"/>
      <c r="I353" s="60"/>
      <c r="J353" s="10"/>
      <c r="K353" s="34"/>
      <c r="L353" s="10"/>
      <c r="M353" s="10"/>
      <c r="N353" s="6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39"/>
      <c r="H354" s="39"/>
      <c r="I354" s="60"/>
      <c r="J354" s="10"/>
      <c r="K354" s="34"/>
      <c r="L354" s="10"/>
      <c r="M354" s="10"/>
      <c r="N354" s="6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39"/>
      <c r="H355" s="39"/>
      <c r="I355" s="60"/>
      <c r="J355" s="10"/>
      <c r="K355" s="34"/>
      <c r="L355" s="10"/>
      <c r="M355" s="10"/>
      <c r="N355" s="6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39"/>
      <c r="H356" s="39"/>
      <c r="I356" s="60"/>
      <c r="J356" s="10"/>
      <c r="K356" s="34"/>
      <c r="L356" s="10"/>
      <c r="M356" s="10"/>
      <c r="N356" s="6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39"/>
      <c r="H357" s="39"/>
      <c r="I357" s="60"/>
      <c r="J357" s="10"/>
      <c r="K357" s="34"/>
      <c r="L357" s="10"/>
      <c r="M357" s="10"/>
      <c r="N357" s="6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39"/>
      <c r="H358" s="39"/>
      <c r="I358" s="60"/>
      <c r="J358" s="10"/>
      <c r="K358" s="34"/>
      <c r="L358" s="10"/>
      <c r="M358" s="10"/>
      <c r="N358" s="6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39"/>
      <c r="H359" s="39"/>
      <c r="I359" s="60"/>
      <c r="J359" s="10"/>
      <c r="K359" s="34"/>
      <c r="L359" s="10"/>
      <c r="M359" s="10"/>
      <c r="N359" s="6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39"/>
      <c r="H360" s="39"/>
      <c r="I360" s="60"/>
      <c r="J360" s="10"/>
      <c r="K360" s="34"/>
      <c r="L360" s="10"/>
      <c r="M360" s="10"/>
      <c r="N360" s="6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39"/>
      <c r="H361" s="39"/>
      <c r="I361" s="60"/>
      <c r="J361" s="10"/>
      <c r="K361" s="34"/>
      <c r="L361" s="10"/>
      <c r="M361" s="10"/>
      <c r="N361" s="6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39"/>
      <c r="H362" s="39"/>
      <c r="I362" s="60"/>
      <c r="J362" s="10"/>
      <c r="K362" s="34"/>
      <c r="L362" s="10"/>
      <c r="M362" s="10"/>
      <c r="N362" s="6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39"/>
      <c r="H363" s="39"/>
      <c r="I363" s="60"/>
      <c r="J363" s="10"/>
      <c r="K363" s="34"/>
      <c r="L363" s="10"/>
      <c r="M363" s="10"/>
      <c r="N363" s="6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39"/>
      <c r="H364" s="39"/>
      <c r="I364" s="60"/>
      <c r="J364" s="10"/>
      <c r="K364" s="34"/>
      <c r="L364" s="10"/>
      <c r="M364" s="10"/>
      <c r="N364" s="6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39"/>
      <c r="H365" s="39"/>
      <c r="I365" s="60"/>
      <c r="J365" s="10"/>
      <c r="K365" s="34"/>
      <c r="L365" s="10"/>
      <c r="M365" s="10"/>
      <c r="N365" s="6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39"/>
      <c r="H366" s="39"/>
      <c r="I366" s="60"/>
      <c r="J366" s="10"/>
      <c r="K366" s="34"/>
      <c r="L366" s="10"/>
      <c r="M366" s="10"/>
      <c r="N366" s="6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39"/>
      <c r="H367" s="39"/>
      <c r="I367" s="60"/>
      <c r="J367" s="10"/>
      <c r="K367" s="34"/>
      <c r="L367" s="10"/>
      <c r="M367" s="10"/>
      <c r="N367" s="6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39"/>
      <c r="H368" s="39"/>
      <c r="I368" s="60"/>
      <c r="J368" s="10"/>
      <c r="K368" s="34"/>
      <c r="L368" s="10"/>
      <c r="M368" s="10"/>
      <c r="N368" s="6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39"/>
      <c r="H369" s="39"/>
      <c r="I369" s="60"/>
      <c r="J369" s="10"/>
      <c r="K369" s="34"/>
      <c r="L369" s="10"/>
      <c r="M369" s="10"/>
      <c r="N369" s="6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39"/>
      <c r="H370" s="39"/>
      <c r="I370" s="60"/>
      <c r="J370" s="10"/>
      <c r="K370" s="34"/>
      <c r="L370" s="10"/>
      <c r="M370" s="10"/>
      <c r="N370" s="6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39"/>
      <c r="H371" s="39"/>
      <c r="I371" s="60"/>
      <c r="J371" s="10"/>
      <c r="K371" s="34"/>
      <c r="L371" s="10"/>
      <c r="M371" s="10"/>
      <c r="N371" s="6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39"/>
      <c r="H372" s="39"/>
      <c r="I372" s="60"/>
      <c r="J372" s="10"/>
      <c r="K372" s="34"/>
      <c r="L372" s="10"/>
      <c r="M372" s="10"/>
      <c r="N372" s="6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39"/>
      <c r="H373" s="39"/>
      <c r="I373" s="60"/>
      <c r="J373" s="10"/>
      <c r="K373" s="34"/>
      <c r="L373" s="10"/>
      <c r="M373" s="10"/>
      <c r="N373" s="6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39"/>
      <c r="H374" s="39"/>
      <c r="I374" s="60"/>
      <c r="J374" s="10"/>
      <c r="K374" s="34"/>
      <c r="L374" s="10"/>
      <c r="M374" s="10"/>
      <c r="N374" s="6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39"/>
      <c r="H375" s="39"/>
      <c r="I375" s="60"/>
      <c r="J375" s="10"/>
      <c r="K375" s="34"/>
      <c r="L375" s="10"/>
      <c r="M375" s="10"/>
      <c r="N375" s="6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39"/>
      <c r="H376" s="39"/>
      <c r="I376" s="60"/>
      <c r="J376" s="10"/>
      <c r="K376" s="34"/>
      <c r="L376" s="10"/>
      <c r="M376" s="10"/>
      <c r="N376" s="6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39"/>
      <c r="H377" s="39"/>
      <c r="I377" s="60"/>
      <c r="J377" s="10"/>
      <c r="K377" s="34"/>
      <c r="L377" s="10"/>
      <c r="M377" s="10"/>
      <c r="N377" s="6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39"/>
      <c r="H378" s="39"/>
      <c r="I378" s="60"/>
      <c r="J378" s="10"/>
      <c r="K378" s="34"/>
      <c r="L378" s="10"/>
      <c r="M378" s="10"/>
      <c r="N378" s="6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39"/>
      <c r="H379" s="39"/>
      <c r="I379" s="60"/>
      <c r="J379" s="10"/>
      <c r="K379" s="34"/>
      <c r="L379" s="10"/>
      <c r="M379" s="10"/>
      <c r="N379" s="6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39"/>
      <c r="H380" s="39"/>
      <c r="I380" s="60"/>
      <c r="J380" s="10"/>
      <c r="K380" s="34"/>
      <c r="L380" s="10"/>
      <c r="M380" s="10"/>
      <c r="N380" s="6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39"/>
      <c r="H381" s="39"/>
      <c r="I381" s="60"/>
      <c r="J381" s="10"/>
      <c r="K381" s="34"/>
      <c r="L381" s="10"/>
      <c r="M381" s="10"/>
      <c r="N381" s="6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39"/>
      <c r="H382" s="39"/>
      <c r="I382" s="60"/>
      <c r="J382" s="10"/>
      <c r="K382" s="34"/>
      <c r="L382" s="10"/>
      <c r="M382" s="10"/>
      <c r="N382" s="6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39"/>
      <c r="H383" s="39"/>
      <c r="I383" s="60"/>
      <c r="J383" s="10"/>
      <c r="K383" s="34"/>
      <c r="L383" s="10"/>
      <c r="M383" s="10"/>
      <c r="N383" s="6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39"/>
      <c r="H384" s="39"/>
      <c r="I384" s="60"/>
      <c r="J384" s="10"/>
      <c r="K384" s="34"/>
      <c r="L384" s="10"/>
      <c r="M384" s="10"/>
      <c r="N384" s="6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39"/>
      <c r="H385" s="39"/>
      <c r="I385" s="60"/>
      <c r="J385" s="10"/>
      <c r="K385" s="34"/>
      <c r="L385" s="10"/>
      <c r="M385" s="10"/>
      <c r="N385" s="6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39"/>
      <c r="H386" s="39"/>
      <c r="I386" s="60"/>
      <c r="J386" s="10"/>
      <c r="K386" s="34"/>
      <c r="L386" s="10"/>
      <c r="M386" s="10"/>
      <c r="N386" s="6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39"/>
      <c r="H387" s="39"/>
      <c r="I387" s="60"/>
      <c r="J387" s="10"/>
      <c r="K387" s="34"/>
      <c r="L387" s="10"/>
      <c r="M387" s="10"/>
      <c r="N387" s="6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39"/>
      <c r="H388" s="39"/>
      <c r="I388" s="60"/>
      <c r="J388" s="10"/>
      <c r="K388" s="34"/>
      <c r="L388" s="10"/>
      <c r="M388" s="10"/>
      <c r="N388" s="6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39"/>
      <c r="H389" s="39"/>
      <c r="I389" s="60"/>
      <c r="J389" s="10"/>
      <c r="K389" s="34"/>
      <c r="L389" s="10"/>
      <c r="M389" s="10"/>
      <c r="N389" s="6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39"/>
      <c r="H390" s="39"/>
      <c r="I390" s="60"/>
      <c r="J390" s="10"/>
      <c r="K390" s="34"/>
      <c r="L390" s="10"/>
      <c r="M390" s="10"/>
      <c r="N390" s="6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39"/>
      <c r="H391" s="39"/>
      <c r="I391" s="60"/>
      <c r="J391" s="10"/>
      <c r="K391" s="34"/>
      <c r="L391" s="10"/>
      <c r="M391" s="10"/>
      <c r="N391" s="6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39"/>
      <c r="H392" s="39"/>
      <c r="I392" s="60"/>
      <c r="J392" s="10"/>
      <c r="K392" s="34"/>
      <c r="L392" s="10"/>
      <c r="M392" s="10"/>
      <c r="N392" s="6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39"/>
      <c r="H393" s="39"/>
      <c r="I393" s="60"/>
      <c r="J393" s="10"/>
      <c r="K393" s="34"/>
      <c r="L393" s="10"/>
      <c r="M393" s="10"/>
      <c r="N393" s="6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39"/>
      <c r="H394" s="39"/>
      <c r="I394" s="60"/>
      <c r="J394" s="10"/>
      <c r="K394" s="34"/>
      <c r="L394" s="10"/>
      <c r="M394" s="10"/>
      <c r="N394" s="6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39"/>
      <c r="H395" s="39"/>
      <c r="I395" s="60"/>
      <c r="J395" s="10"/>
      <c r="K395" s="34"/>
      <c r="L395" s="10"/>
      <c r="M395" s="10"/>
      <c r="N395" s="6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39"/>
      <c r="H396" s="39"/>
      <c r="I396" s="60"/>
      <c r="J396" s="10"/>
      <c r="K396" s="34"/>
      <c r="L396" s="10"/>
      <c r="M396" s="10"/>
      <c r="N396" s="6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39"/>
      <c r="H397" s="39"/>
      <c r="I397" s="60"/>
      <c r="J397" s="10"/>
      <c r="K397" s="34"/>
      <c r="L397" s="10"/>
      <c r="M397" s="10"/>
      <c r="N397" s="6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39"/>
      <c r="H398" s="39"/>
      <c r="I398" s="60"/>
      <c r="J398" s="10"/>
      <c r="K398" s="34"/>
      <c r="L398" s="10"/>
      <c r="M398" s="10"/>
      <c r="N398" s="6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39"/>
      <c r="H399" s="39"/>
      <c r="I399" s="60"/>
      <c r="J399" s="10"/>
      <c r="K399" s="34"/>
      <c r="L399" s="10"/>
      <c r="M399" s="10"/>
      <c r="N399" s="6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39"/>
      <c r="H400" s="39"/>
      <c r="I400" s="60"/>
      <c r="J400" s="10"/>
      <c r="K400" s="34"/>
      <c r="L400" s="10"/>
      <c r="M400" s="10"/>
      <c r="N400" s="6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39"/>
      <c r="H401" s="39"/>
      <c r="I401" s="60"/>
      <c r="J401" s="10"/>
      <c r="K401" s="34"/>
      <c r="L401" s="10"/>
      <c r="M401" s="10"/>
      <c r="N401" s="6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39"/>
      <c r="H402" s="39"/>
      <c r="I402" s="60"/>
      <c r="J402" s="10"/>
      <c r="K402" s="34"/>
      <c r="L402" s="10"/>
      <c r="M402" s="10"/>
      <c r="N402" s="6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39"/>
      <c r="H403" s="39"/>
      <c r="I403" s="60"/>
      <c r="J403" s="10"/>
      <c r="K403" s="34"/>
      <c r="L403" s="10"/>
      <c r="M403" s="10"/>
      <c r="N403" s="6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39"/>
      <c r="H404" s="39"/>
      <c r="I404" s="60"/>
      <c r="J404" s="10"/>
      <c r="K404" s="34"/>
      <c r="L404" s="10"/>
      <c r="M404" s="10"/>
      <c r="N404" s="6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39"/>
      <c r="H405" s="39"/>
      <c r="I405" s="60"/>
      <c r="J405" s="10"/>
      <c r="K405" s="34"/>
      <c r="L405" s="10"/>
      <c r="M405" s="10"/>
      <c r="N405" s="6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39"/>
      <c r="H406" s="39"/>
      <c r="I406" s="60"/>
      <c r="J406" s="10"/>
      <c r="K406" s="34"/>
      <c r="L406" s="10"/>
      <c r="M406" s="10"/>
      <c r="N406" s="6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39"/>
      <c r="H407" s="39"/>
      <c r="I407" s="60"/>
      <c r="J407" s="10"/>
      <c r="K407" s="34"/>
      <c r="L407" s="10"/>
      <c r="M407" s="10"/>
      <c r="N407" s="6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39"/>
      <c r="H408" s="39"/>
      <c r="I408" s="60"/>
      <c r="J408" s="10"/>
      <c r="K408" s="34"/>
      <c r="L408" s="10"/>
      <c r="M408" s="10"/>
      <c r="N408" s="6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39"/>
      <c r="H409" s="39"/>
      <c r="I409" s="60"/>
      <c r="J409" s="10"/>
      <c r="K409" s="34"/>
      <c r="L409" s="10"/>
      <c r="M409" s="10"/>
      <c r="N409" s="6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39"/>
      <c r="H410" s="39"/>
      <c r="I410" s="60"/>
      <c r="J410" s="10"/>
      <c r="K410" s="34"/>
      <c r="L410" s="10"/>
      <c r="M410" s="10"/>
      <c r="N410" s="6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39"/>
      <c r="H411" s="39"/>
      <c r="I411" s="60"/>
      <c r="J411" s="10"/>
      <c r="K411" s="34"/>
      <c r="L411" s="10"/>
      <c r="M411" s="10"/>
      <c r="N411" s="6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39"/>
      <c r="H412" s="39"/>
      <c r="I412" s="60"/>
      <c r="J412" s="10"/>
      <c r="K412" s="34"/>
      <c r="L412" s="10"/>
      <c r="M412" s="10"/>
      <c r="N412" s="6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39"/>
      <c r="H413" s="39"/>
      <c r="I413" s="60"/>
      <c r="J413" s="10"/>
      <c r="K413" s="34"/>
      <c r="L413" s="10"/>
      <c r="M413" s="10"/>
      <c r="N413" s="6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39"/>
      <c r="H414" s="39"/>
      <c r="I414" s="60"/>
      <c r="J414" s="10"/>
      <c r="K414" s="34"/>
      <c r="L414" s="10"/>
      <c r="M414" s="10"/>
      <c r="N414" s="6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39"/>
      <c r="H415" s="39"/>
      <c r="I415" s="60"/>
      <c r="J415" s="10"/>
      <c r="K415" s="34"/>
      <c r="L415" s="10"/>
      <c r="M415" s="10"/>
      <c r="N415" s="6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39"/>
      <c r="H416" s="39"/>
      <c r="I416" s="60"/>
      <c r="J416" s="10"/>
      <c r="K416" s="34"/>
      <c r="L416" s="10"/>
      <c r="M416" s="10"/>
      <c r="N416" s="6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39"/>
      <c r="H417" s="39"/>
      <c r="I417" s="60"/>
      <c r="J417" s="10"/>
      <c r="K417" s="34"/>
      <c r="L417" s="10"/>
      <c r="M417" s="10"/>
      <c r="N417" s="6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39"/>
      <c r="H418" s="39"/>
      <c r="I418" s="60"/>
      <c r="J418" s="10"/>
      <c r="K418" s="34"/>
      <c r="L418" s="10"/>
      <c r="M418" s="10"/>
      <c r="N418" s="6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39"/>
      <c r="H419" s="39"/>
      <c r="I419" s="60"/>
      <c r="J419" s="10"/>
      <c r="K419" s="34"/>
      <c r="L419" s="10"/>
      <c r="M419" s="10"/>
      <c r="N419" s="6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39"/>
      <c r="H420" s="39"/>
      <c r="I420" s="60"/>
      <c r="J420" s="10"/>
      <c r="K420" s="34"/>
      <c r="L420" s="10"/>
      <c r="M420" s="10"/>
      <c r="N420" s="6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39"/>
      <c r="H421" s="39"/>
      <c r="I421" s="60"/>
      <c r="J421" s="10"/>
      <c r="K421" s="34"/>
      <c r="L421" s="10"/>
      <c r="M421" s="10"/>
      <c r="N421" s="6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39"/>
      <c r="H422" s="39"/>
      <c r="I422" s="60"/>
      <c r="J422" s="10"/>
      <c r="K422" s="34"/>
      <c r="L422" s="10"/>
      <c r="M422" s="10"/>
      <c r="N422" s="6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39"/>
      <c r="H423" s="39"/>
      <c r="I423" s="60"/>
      <c r="J423" s="10"/>
      <c r="K423" s="34"/>
      <c r="L423" s="10"/>
      <c r="M423" s="10"/>
      <c r="N423" s="6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39"/>
      <c r="H424" s="39"/>
      <c r="I424" s="60"/>
      <c r="J424" s="10"/>
      <c r="K424" s="34"/>
      <c r="L424" s="10"/>
      <c r="M424" s="10"/>
      <c r="N424" s="6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39"/>
      <c r="H425" s="39"/>
      <c r="I425" s="60"/>
      <c r="J425" s="10"/>
      <c r="K425" s="34"/>
      <c r="L425" s="10"/>
      <c r="M425" s="10"/>
      <c r="N425" s="6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39"/>
      <c r="H426" s="39"/>
      <c r="I426" s="60"/>
      <c r="J426" s="10"/>
      <c r="K426" s="34"/>
      <c r="L426" s="10"/>
      <c r="M426" s="10"/>
      <c r="N426" s="6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39"/>
      <c r="H427" s="39"/>
      <c r="I427" s="60"/>
      <c r="J427" s="10"/>
      <c r="K427" s="34"/>
      <c r="L427" s="10"/>
      <c r="M427" s="10"/>
      <c r="N427" s="6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39"/>
      <c r="H428" s="39"/>
      <c r="I428" s="60"/>
      <c r="J428" s="10"/>
      <c r="K428" s="34"/>
      <c r="L428" s="10"/>
      <c r="M428" s="10"/>
      <c r="N428" s="6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39"/>
      <c r="H429" s="39"/>
      <c r="I429" s="60"/>
      <c r="J429" s="10"/>
      <c r="K429" s="34"/>
      <c r="L429" s="10"/>
      <c r="M429" s="10"/>
      <c r="N429" s="6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39"/>
      <c r="H430" s="39"/>
      <c r="I430" s="60"/>
      <c r="J430" s="10"/>
      <c r="K430" s="34"/>
      <c r="L430" s="10"/>
      <c r="M430" s="10"/>
      <c r="N430" s="6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39"/>
      <c r="H431" s="39"/>
      <c r="I431" s="60"/>
      <c r="J431" s="10"/>
      <c r="K431" s="34"/>
      <c r="L431" s="10"/>
      <c r="M431" s="10"/>
      <c r="N431" s="6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39"/>
      <c r="H432" s="39"/>
      <c r="I432" s="60"/>
      <c r="J432" s="10"/>
      <c r="K432" s="34"/>
      <c r="L432" s="10"/>
      <c r="M432" s="10"/>
      <c r="N432" s="6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39"/>
      <c r="H433" s="39"/>
      <c r="I433" s="60"/>
      <c r="J433" s="10"/>
      <c r="K433" s="34"/>
      <c r="L433" s="10"/>
      <c r="M433" s="10"/>
      <c r="N433" s="6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39"/>
      <c r="H434" s="39"/>
      <c r="I434" s="60"/>
      <c r="J434" s="10"/>
      <c r="K434" s="34"/>
      <c r="L434" s="10"/>
      <c r="M434" s="10"/>
      <c r="N434" s="6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39"/>
      <c r="H435" s="39"/>
      <c r="I435" s="60"/>
      <c r="J435" s="10"/>
      <c r="K435" s="34"/>
      <c r="L435" s="10"/>
      <c r="M435" s="10"/>
      <c r="N435" s="6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39"/>
      <c r="H436" s="39"/>
      <c r="I436" s="60"/>
      <c r="J436" s="10"/>
      <c r="K436" s="34"/>
      <c r="L436" s="10"/>
      <c r="M436" s="10"/>
      <c r="N436" s="6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39"/>
      <c r="H437" s="39"/>
      <c r="I437" s="60"/>
      <c r="J437" s="10"/>
      <c r="K437" s="34"/>
      <c r="L437" s="10"/>
      <c r="M437" s="10"/>
      <c r="N437" s="6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39"/>
      <c r="H438" s="39"/>
      <c r="I438" s="60"/>
      <c r="J438" s="10"/>
      <c r="K438" s="34"/>
      <c r="L438" s="10"/>
      <c r="M438" s="10"/>
      <c r="N438" s="6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39"/>
      <c r="H439" s="39"/>
      <c r="I439" s="60"/>
      <c r="J439" s="10"/>
      <c r="K439" s="34"/>
      <c r="L439" s="10"/>
      <c r="M439" s="10"/>
      <c r="N439" s="6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39"/>
      <c r="H440" s="39"/>
      <c r="I440" s="60"/>
      <c r="J440" s="10"/>
      <c r="K440" s="34"/>
      <c r="L440" s="10"/>
      <c r="M440" s="10"/>
      <c r="N440" s="6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39"/>
      <c r="H441" s="39"/>
      <c r="I441" s="60"/>
      <c r="J441" s="10"/>
      <c r="K441" s="34"/>
      <c r="L441" s="10"/>
      <c r="M441" s="10"/>
      <c r="N441" s="6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39"/>
      <c r="H442" s="39"/>
      <c r="I442" s="60"/>
      <c r="J442" s="10"/>
      <c r="K442" s="34"/>
      <c r="L442" s="10"/>
      <c r="M442" s="10"/>
      <c r="N442" s="6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39"/>
      <c r="H443" s="39"/>
      <c r="I443" s="60"/>
      <c r="J443" s="10"/>
      <c r="K443" s="34"/>
      <c r="L443" s="10"/>
      <c r="M443" s="10"/>
      <c r="N443" s="6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39"/>
      <c r="H444" s="39"/>
      <c r="I444" s="60"/>
      <c r="J444" s="10"/>
      <c r="K444" s="34"/>
      <c r="L444" s="10"/>
      <c r="M444" s="10"/>
      <c r="N444" s="6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39"/>
      <c r="H445" s="39"/>
      <c r="I445" s="60"/>
      <c r="J445" s="10"/>
      <c r="K445" s="34"/>
      <c r="L445" s="10"/>
      <c r="M445" s="10"/>
      <c r="N445" s="6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39"/>
      <c r="H446" s="39"/>
      <c r="I446" s="60"/>
      <c r="J446" s="10"/>
      <c r="K446" s="34"/>
      <c r="L446" s="10"/>
      <c r="M446" s="10"/>
      <c r="N446" s="6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39"/>
      <c r="H447" s="39"/>
      <c r="I447" s="60"/>
      <c r="J447" s="10"/>
      <c r="K447" s="34"/>
      <c r="L447" s="10"/>
      <c r="M447" s="10"/>
      <c r="N447" s="6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39"/>
      <c r="H448" s="39"/>
      <c r="I448" s="60"/>
      <c r="J448" s="10"/>
      <c r="K448" s="34"/>
      <c r="L448" s="10"/>
      <c r="M448" s="10"/>
      <c r="N448" s="6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39"/>
      <c r="H449" s="39"/>
      <c r="I449" s="60"/>
      <c r="J449" s="10"/>
      <c r="K449" s="34"/>
      <c r="L449" s="10"/>
      <c r="M449" s="10"/>
      <c r="N449" s="6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39"/>
      <c r="H450" s="39"/>
      <c r="I450" s="60"/>
      <c r="J450" s="10"/>
      <c r="K450" s="34"/>
      <c r="L450" s="10"/>
      <c r="M450" s="10"/>
      <c r="N450" s="6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39"/>
      <c r="H451" s="39"/>
      <c r="I451" s="60"/>
      <c r="J451" s="10"/>
      <c r="K451" s="34"/>
      <c r="L451" s="10"/>
      <c r="M451" s="10"/>
      <c r="N451" s="6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39"/>
      <c r="H452" s="39"/>
      <c r="I452" s="60"/>
      <c r="J452" s="10"/>
      <c r="K452" s="34"/>
      <c r="L452" s="10"/>
      <c r="M452" s="10"/>
      <c r="N452" s="6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39"/>
      <c r="H453" s="39"/>
      <c r="I453" s="60"/>
      <c r="J453" s="10"/>
      <c r="K453" s="34"/>
      <c r="L453" s="10"/>
      <c r="M453" s="10"/>
      <c r="N453" s="6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39"/>
      <c r="H454" s="39"/>
      <c r="I454" s="60"/>
      <c r="J454" s="10"/>
      <c r="K454" s="34"/>
      <c r="L454" s="10"/>
      <c r="M454" s="10"/>
      <c r="N454" s="6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39"/>
      <c r="H455" s="39"/>
      <c r="I455" s="60"/>
      <c r="J455" s="10"/>
      <c r="K455" s="34"/>
      <c r="L455" s="10"/>
      <c r="M455" s="10"/>
      <c r="N455" s="6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39"/>
      <c r="H456" s="39"/>
      <c r="I456" s="60"/>
      <c r="J456" s="10"/>
      <c r="K456" s="34"/>
      <c r="L456" s="10"/>
      <c r="M456" s="10"/>
      <c r="N456" s="6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39"/>
      <c r="H457" s="39"/>
      <c r="I457" s="60"/>
      <c r="J457" s="10"/>
      <c r="K457" s="34"/>
      <c r="L457" s="10"/>
      <c r="M457" s="10"/>
      <c r="N457" s="6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39"/>
      <c r="H458" s="39"/>
      <c r="I458" s="60"/>
      <c r="J458" s="10"/>
      <c r="K458" s="34"/>
      <c r="L458" s="10"/>
      <c r="M458" s="10"/>
      <c r="N458" s="6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39"/>
      <c r="H459" s="39"/>
      <c r="I459" s="60"/>
      <c r="J459" s="10"/>
      <c r="K459" s="34"/>
      <c r="L459" s="10"/>
      <c r="M459" s="10"/>
      <c r="N459" s="6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39"/>
      <c r="H460" s="39"/>
      <c r="I460" s="60"/>
      <c r="J460" s="10"/>
      <c r="K460" s="34"/>
      <c r="L460" s="10"/>
      <c r="M460" s="10"/>
      <c r="N460" s="6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39"/>
      <c r="H461" s="39"/>
      <c r="I461" s="60"/>
      <c r="J461" s="10"/>
      <c r="K461" s="34"/>
      <c r="L461" s="10"/>
      <c r="M461" s="10"/>
      <c r="N461" s="6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39"/>
      <c r="H462" s="39"/>
      <c r="I462" s="60"/>
      <c r="J462" s="10"/>
      <c r="K462" s="34"/>
      <c r="L462" s="10"/>
      <c r="M462" s="10"/>
      <c r="N462" s="6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39"/>
      <c r="H463" s="39"/>
      <c r="I463" s="60"/>
      <c r="J463" s="10"/>
      <c r="K463" s="34"/>
      <c r="L463" s="10"/>
      <c r="M463" s="10"/>
      <c r="N463" s="6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39"/>
      <c r="H464" s="39"/>
      <c r="I464" s="60"/>
      <c r="J464" s="10"/>
      <c r="K464" s="34"/>
      <c r="L464" s="10"/>
      <c r="M464" s="10"/>
      <c r="N464" s="6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39"/>
      <c r="H465" s="39"/>
      <c r="I465" s="60"/>
      <c r="J465" s="10"/>
      <c r="K465" s="34"/>
      <c r="L465" s="10"/>
      <c r="M465" s="10"/>
      <c r="N465" s="6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39"/>
      <c r="H466" s="39"/>
      <c r="I466" s="60"/>
      <c r="J466" s="10"/>
      <c r="K466" s="34"/>
      <c r="L466" s="10"/>
      <c r="M466" s="10"/>
      <c r="N466" s="6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39"/>
      <c r="H467" s="39"/>
      <c r="I467" s="60"/>
      <c r="J467" s="10"/>
      <c r="K467" s="34"/>
      <c r="L467" s="10"/>
      <c r="M467" s="10"/>
      <c r="N467" s="6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39"/>
      <c r="H468" s="39"/>
      <c r="I468" s="60"/>
      <c r="J468" s="10"/>
      <c r="K468" s="34"/>
      <c r="L468" s="10"/>
      <c r="M468" s="10"/>
      <c r="N468" s="6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39"/>
      <c r="H469" s="39"/>
      <c r="I469" s="60"/>
      <c r="J469" s="10"/>
      <c r="K469" s="34"/>
      <c r="L469" s="10"/>
      <c r="M469" s="10"/>
      <c r="N469" s="6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39"/>
      <c r="H470" s="39"/>
      <c r="I470" s="60"/>
      <c r="J470" s="10"/>
      <c r="K470" s="34"/>
      <c r="L470" s="10"/>
      <c r="M470" s="10"/>
      <c r="N470" s="6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39"/>
      <c r="H471" s="39"/>
      <c r="I471" s="60"/>
      <c r="J471" s="10"/>
      <c r="K471" s="34"/>
      <c r="L471" s="10"/>
      <c r="M471" s="10"/>
      <c r="N471" s="6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39"/>
      <c r="H472" s="39"/>
      <c r="I472" s="60"/>
      <c r="J472" s="10"/>
      <c r="K472" s="34"/>
      <c r="L472" s="10"/>
      <c r="M472" s="10"/>
      <c r="N472" s="6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39"/>
      <c r="H473" s="39"/>
      <c r="I473" s="60"/>
      <c r="J473" s="10"/>
      <c r="K473" s="34"/>
      <c r="L473" s="10"/>
      <c r="M473" s="10"/>
      <c r="N473" s="6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39"/>
      <c r="H474" s="39"/>
      <c r="I474" s="60"/>
      <c r="J474" s="10"/>
      <c r="K474" s="34"/>
      <c r="L474" s="10"/>
      <c r="M474" s="10"/>
      <c r="N474" s="6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39"/>
      <c r="H475" s="39"/>
      <c r="I475" s="60"/>
      <c r="J475" s="10"/>
      <c r="K475" s="34"/>
      <c r="L475" s="10"/>
      <c r="M475" s="10"/>
      <c r="N475" s="6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39"/>
      <c r="H476" s="39"/>
      <c r="I476" s="60"/>
      <c r="J476" s="10"/>
      <c r="K476" s="34"/>
      <c r="L476" s="10"/>
      <c r="M476" s="10"/>
      <c r="N476" s="6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39"/>
      <c r="H477" s="39"/>
      <c r="I477" s="60"/>
      <c r="J477" s="10"/>
      <c r="K477" s="34"/>
      <c r="L477" s="10"/>
      <c r="M477" s="10"/>
      <c r="N477" s="6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39"/>
      <c r="H478" s="39"/>
      <c r="I478" s="60"/>
      <c r="J478" s="10"/>
      <c r="K478" s="34"/>
      <c r="L478" s="10"/>
      <c r="M478" s="10"/>
      <c r="N478" s="6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39"/>
      <c r="H479" s="39"/>
      <c r="I479" s="60"/>
      <c r="J479" s="10"/>
      <c r="K479" s="34"/>
      <c r="L479" s="10"/>
      <c r="M479" s="10"/>
      <c r="N479" s="6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39"/>
      <c r="H480" s="39"/>
      <c r="I480" s="60"/>
      <c r="J480" s="10"/>
      <c r="K480" s="34"/>
      <c r="L480" s="10"/>
      <c r="M480" s="10"/>
      <c r="N480" s="6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39"/>
      <c r="H481" s="39"/>
      <c r="I481" s="60"/>
      <c r="J481" s="10"/>
      <c r="K481" s="34"/>
      <c r="L481" s="10"/>
      <c r="M481" s="10"/>
      <c r="N481" s="6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39"/>
      <c r="H482" s="39"/>
      <c r="I482" s="60"/>
      <c r="J482" s="10"/>
      <c r="K482" s="34"/>
      <c r="L482" s="10"/>
      <c r="M482" s="10"/>
      <c r="N482" s="6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39"/>
      <c r="H483" s="39"/>
      <c r="I483" s="60"/>
      <c r="J483" s="10"/>
      <c r="K483" s="34"/>
      <c r="L483" s="10"/>
      <c r="M483" s="10"/>
      <c r="N483" s="6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39"/>
      <c r="H484" s="39"/>
      <c r="I484" s="60"/>
      <c r="J484" s="10"/>
      <c r="K484" s="34"/>
      <c r="L484" s="10"/>
      <c r="M484" s="10"/>
      <c r="N484" s="6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39"/>
      <c r="H485" s="39"/>
      <c r="I485" s="60"/>
      <c r="J485" s="10"/>
      <c r="K485" s="34"/>
      <c r="L485" s="10"/>
      <c r="M485" s="10"/>
      <c r="N485" s="6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39"/>
      <c r="H486" s="39"/>
      <c r="I486" s="60"/>
      <c r="J486" s="10"/>
      <c r="K486" s="34"/>
      <c r="L486" s="10"/>
      <c r="M486" s="10"/>
      <c r="N486" s="6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39"/>
      <c r="H487" s="39"/>
      <c r="I487" s="60"/>
      <c r="J487" s="10"/>
      <c r="K487" s="34"/>
      <c r="L487" s="10"/>
      <c r="M487" s="10"/>
      <c r="N487" s="6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39"/>
      <c r="H488" s="39"/>
      <c r="I488" s="60"/>
      <c r="J488" s="10"/>
      <c r="K488" s="34"/>
      <c r="L488" s="10"/>
      <c r="M488" s="10"/>
      <c r="N488" s="6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39"/>
      <c r="H489" s="39"/>
      <c r="I489" s="60"/>
      <c r="J489" s="10"/>
      <c r="K489" s="34"/>
      <c r="L489" s="10"/>
      <c r="M489" s="10"/>
      <c r="N489" s="6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39"/>
      <c r="H490" s="39"/>
      <c r="I490" s="60"/>
      <c r="J490" s="10"/>
      <c r="K490" s="34"/>
      <c r="L490" s="10"/>
      <c r="M490" s="10"/>
      <c r="N490" s="6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39"/>
      <c r="H491" s="39"/>
      <c r="I491" s="60"/>
      <c r="J491" s="10"/>
      <c r="K491" s="34"/>
      <c r="L491" s="10"/>
      <c r="M491" s="10"/>
      <c r="N491" s="6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39"/>
      <c r="H492" s="39"/>
      <c r="I492" s="60"/>
      <c r="J492" s="10"/>
      <c r="K492" s="34"/>
      <c r="L492" s="10"/>
      <c r="M492" s="10"/>
      <c r="N492" s="6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39"/>
      <c r="H493" s="39"/>
      <c r="I493" s="60"/>
      <c r="J493" s="10"/>
      <c r="K493" s="34"/>
      <c r="L493" s="10"/>
      <c r="M493" s="10"/>
      <c r="N493" s="6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39"/>
      <c r="H494" s="39"/>
      <c r="I494" s="60"/>
      <c r="J494" s="10"/>
      <c r="K494" s="34"/>
      <c r="L494" s="10"/>
      <c r="M494" s="10"/>
      <c r="N494" s="6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39"/>
      <c r="H495" s="39"/>
      <c r="I495" s="60"/>
      <c r="J495" s="10"/>
      <c r="K495" s="34"/>
      <c r="L495" s="10"/>
      <c r="M495" s="10"/>
      <c r="N495" s="6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39"/>
      <c r="H496" s="39"/>
      <c r="I496" s="60"/>
      <c r="J496" s="10"/>
      <c r="K496" s="34"/>
      <c r="L496" s="10"/>
      <c r="M496" s="10"/>
      <c r="N496" s="6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39"/>
      <c r="H497" s="39"/>
      <c r="I497" s="60"/>
      <c r="J497" s="10"/>
      <c r="K497" s="34"/>
      <c r="L497" s="10"/>
      <c r="M497" s="10"/>
      <c r="N497" s="6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39"/>
      <c r="H498" s="39"/>
      <c r="I498" s="60"/>
      <c r="J498" s="10"/>
      <c r="K498" s="34"/>
      <c r="L498" s="10"/>
      <c r="M498" s="10"/>
      <c r="N498" s="6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39"/>
      <c r="H499" s="39"/>
      <c r="I499" s="60"/>
      <c r="J499" s="10"/>
      <c r="K499" s="34"/>
      <c r="L499" s="10"/>
      <c r="M499" s="10"/>
      <c r="N499" s="6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39"/>
      <c r="H500" s="39"/>
      <c r="I500" s="60"/>
      <c r="J500" s="10"/>
      <c r="K500" s="34"/>
      <c r="L500" s="10"/>
      <c r="M500" s="10"/>
      <c r="N500" s="6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39"/>
      <c r="H501" s="39"/>
      <c r="I501" s="60"/>
      <c r="J501" s="10"/>
      <c r="K501" s="34"/>
      <c r="L501" s="10"/>
      <c r="M501" s="10"/>
      <c r="N501" s="6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39"/>
      <c r="H502" s="39"/>
      <c r="I502" s="60"/>
      <c r="J502" s="10"/>
      <c r="K502" s="34"/>
      <c r="L502" s="10"/>
      <c r="M502" s="10"/>
      <c r="N502" s="6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39"/>
      <c r="H503" s="39"/>
      <c r="I503" s="60"/>
      <c r="J503" s="10"/>
      <c r="K503" s="34"/>
      <c r="L503" s="10"/>
      <c r="M503" s="10"/>
      <c r="N503" s="6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39"/>
      <c r="H504" s="39"/>
      <c r="I504" s="60"/>
      <c r="J504" s="10"/>
      <c r="K504" s="34"/>
      <c r="L504" s="10"/>
      <c r="M504" s="10"/>
      <c r="N504" s="6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39"/>
      <c r="H505" s="39"/>
      <c r="I505" s="60"/>
      <c r="J505" s="10"/>
      <c r="K505" s="34"/>
      <c r="L505" s="10"/>
      <c r="M505" s="10"/>
      <c r="N505" s="6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39"/>
      <c r="H506" s="39"/>
      <c r="I506" s="60"/>
      <c r="J506" s="10"/>
      <c r="K506" s="34"/>
      <c r="L506" s="10"/>
      <c r="M506" s="10"/>
      <c r="N506" s="6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39"/>
      <c r="H507" s="39"/>
      <c r="I507" s="60"/>
      <c r="J507" s="10"/>
      <c r="K507" s="34"/>
      <c r="L507" s="10"/>
      <c r="M507" s="10"/>
      <c r="N507" s="6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39"/>
      <c r="H508" s="39"/>
      <c r="I508" s="60"/>
      <c r="J508" s="10"/>
      <c r="K508" s="34"/>
      <c r="L508" s="10"/>
      <c r="M508" s="10"/>
      <c r="N508" s="6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39"/>
      <c r="H509" s="39"/>
      <c r="I509" s="60"/>
      <c r="J509" s="10"/>
      <c r="K509" s="34"/>
      <c r="L509" s="10"/>
      <c r="M509" s="10"/>
      <c r="N509" s="6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39"/>
      <c r="H510" s="39"/>
      <c r="I510" s="60"/>
      <c r="J510" s="10"/>
      <c r="K510" s="34"/>
      <c r="L510" s="10"/>
      <c r="M510" s="10"/>
      <c r="N510" s="6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39"/>
      <c r="H511" s="39"/>
      <c r="I511" s="60"/>
      <c r="J511" s="10"/>
      <c r="K511" s="34"/>
      <c r="L511" s="10"/>
      <c r="M511" s="10"/>
      <c r="N511" s="6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39"/>
      <c r="H512" s="39"/>
      <c r="I512" s="60"/>
      <c r="J512" s="10"/>
      <c r="K512" s="34"/>
      <c r="L512" s="10"/>
      <c r="M512" s="10"/>
      <c r="N512" s="6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39"/>
      <c r="H513" s="39"/>
      <c r="I513" s="60"/>
      <c r="J513" s="10"/>
      <c r="K513" s="34"/>
      <c r="L513" s="10"/>
      <c r="M513" s="10"/>
      <c r="N513" s="6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39"/>
      <c r="H514" s="39"/>
      <c r="I514" s="60"/>
      <c r="J514" s="10"/>
      <c r="K514" s="34"/>
      <c r="L514" s="10"/>
      <c r="M514" s="10"/>
      <c r="N514" s="6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39"/>
      <c r="H515" s="39"/>
      <c r="I515" s="60"/>
      <c r="J515" s="10"/>
      <c r="K515" s="34"/>
      <c r="L515" s="10"/>
      <c r="M515" s="10"/>
      <c r="N515" s="6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39"/>
      <c r="H516" s="39"/>
      <c r="I516" s="60"/>
      <c r="J516" s="10"/>
      <c r="K516" s="34"/>
      <c r="L516" s="10"/>
      <c r="M516" s="10"/>
      <c r="N516" s="6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39"/>
      <c r="H517" s="39"/>
      <c r="I517" s="60"/>
      <c r="J517" s="10"/>
      <c r="K517" s="34"/>
      <c r="L517" s="10"/>
      <c r="M517" s="10"/>
      <c r="N517" s="6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39"/>
      <c r="H518" s="39"/>
      <c r="I518" s="60"/>
      <c r="J518" s="10"/>
      <c r="K518" s="34"/>
      <c r="L518" s="10"/>
      <c r="M518" s="10"/>
      <c r="N518" s="6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39"/>
      <c r="H519" s="39"/>
      <c r="I519" s="60"/>
      <c r="J519" s="10"/>
      <c r="K519" s="34"/>
      <c r="L519" s="10"/>
      <c r="M519" s="10"/>
      <c r="N519" s="6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39"/>
      <c r="H520" s="39"/>
      <c r="I520" s="60"/>
      <c r="J520" s="10"/>
      <c r="K520" s="34"/>
      <c r="L520" s="10"/>
      <c r="M520" s="10"/>
      <c r="N520" s="6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39"/>
      <c r="H521" s="39"/>
      <c r="I521" s="60"/>
      <c r="J521" s="10"/>
      <c r="K521" s="34"/>
      <c r="L521" s="10"/>
      <c r="M521" s="10"/>
      <c r="N521" s="6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39"/>
      <c r="H522" s="39"/>
      <c r="I522" s="60"/>
      <c r="J522" s="10"/>
      <c r="K522" s="34"/>
      <c r="L522" s="10"/>
      <c r="M522" s="10"/>
      <c r="N522" s="6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39"/>
      <c r="H523" s="39"/>
      <c r="I523" s="60"/>
      <c r="J523" s="10"/>
      <c r="K523" s="34"/>
      <c r="L523" s="10"/>
      <c r="M523" s="10"/>
      <c r="N523" s="6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39"/>
      <c r="H524" s="39"/>
      <c r="I524" s="60"/>
      <c r="J524" s="10"/>
      <c r="K524" s="34"/>
      <c r="L524" s="10"/>
      <c r="M524" s="10"/>
      <c r="N524" s="6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39"/>
      <c r="H525" s="39"/>
      <c r="I525" s="60"/>
      <c r="J525" s="10"/>
      <c r="K525" s="34"/>
      <c r="L525" s="10"/>
      <c r="M525" s="10"/>
      <c r="N525" s="6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39"/>
      <c r="H526" s="39"/>
      <c r="I526" s="60"/>
      <c r="J526" s="10"/>
      <c r="K526" s="34"/>
      <c r="L526" s="10"/>
      <c r="M526" s="10"/>
      <c r="N526" s="6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39"/>
      <c r="H527" s="39"/>
      <c r="I527" s="60"/>
      <c r="J527" s="10"/>
      <c r="K527" s="34"/>
      <c r="L527" s="10"/>
      <c r="M527" s="10"/>
      <c r="N527" s="6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39"/>
      <c r="H528" s="39"/>
      <c r="I528" s="60"/>
      <c r="J528" s="10"/>
      <c r="K528" s="34"/>
      <c r="L528" s="10"/>
      <c r="M528" s="10"/>
      <c r="N528" s="6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39"/>
      <c r="H529" s="39"/>
      <c r="I529" s="60"/>
      <c r="J529" s="10"/>
      <c r="K529" s="34"/>
      <c r="L529" s="10"/>
      <c r="M529" s="10"/>
      <c r="N529" s="6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39"/>
      <c r="H530" s="39"/>
      <c r="I530" s="60"/>
      <c r="J530" s="10"/>
      <c r="K530" s="34"/>
      <c r="L530" s="10"/>
      <c r="M530" s="10"/>
      <c r="N530" s="6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39"/>
      <c r="H531" s="39"/>
      <c r="I531" s="60"/>
      <c r="J531" s="10"/>
      <c r="K531" s="34"/>
      <c r="L531" s="10"/>
      <c r="M531" s="10"/>
      <c r="N531" s="6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39"/>
      <c r="H532" s="39"/>
      <c r="I532" s="60"/>
      <c r="J532" s="10"/>
      <c r="K532" s="34"/>
      <c r="L532" s="10"/>
      <c r="M532" s="10"/>
      <c r="N532" s="6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39"/>
      <c r="H533" s="39"/>
      <c r="I533" s="60"/>
      <c r="J533" s="10"/>
      <c r="K533" s="34"/>
      <c r="L533" s="10"/>
      <c r="M533" s="10"/>
      <c r="N533" s="6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39"/>
      <c r="H534" s="39"/>
      <c r="I534" s="60"/>
      <c r="J534" s="10"/>
      <c r="K534" s="34"/>
      <c r="L534" s="10"/>
      <c r="M534" s="10"/>
      <c r="N534" s="6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39"/>
      <c r="H535" s="39"/>
      <c r="I535" s="60"/>
      <c r="J535" s="10"/>
      <c r="K535" s="34"/>
      <c r="L535" s="10"/>
      <c r="M535" s="10"/>
      <c r="N535" s="6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39"/>
      <c r="H536" s="39"/>
      <c r="I536" s="60"/>
      <c r="J536" s="10"/>
      <c r="K536" s="34"/>
      <c r="L536" s="10"/>
      <c r="M536" s="10"/>
      <c r="N536" s="6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39"/>
      <c r="H537" s="39"/>
      <c r="I537" s="60"/>
      <c r="J537" s="10"/>
      <c r="K537" s="34"/>
      <c r="L537" s="10"/>
      <c r="M537" s="10"/>
      <c r="N537" s="6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39"/>
      <c r="H538" s="39"/>
      <c r="I538" s="60"/>
      <c r="J538" s="10"/>
      <c r="K538" s="34"/>
      <c r="L538" s="10"/>
      <c r="M538" s="10"/>
      <c r="N538" s="6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39"/>
      <c r="H539" s="39"/>
      <c r="I539" s="60"/>
      <c r="J539" s="10"/>
      <c r="K539" s="34"/>
      <c r="L539" s="10"/>
      <c r="M539" s="10"/>
      <c r="N539" s="6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39"/>
      <c r="H540" s="39"/>
      <c r="I540" s="60"/>
      <c r="J540" s="10"/>
      <c r="K540" s="34"/>
      <c r="L540" s="10"/>
      <c r="M540" s="10"/>
      <c r="N540" s="6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39"/>
      <c r="H541" s="39"/>
      <c r="I541" s="60"/>
      <c r="J541" s="10"/>
      <c r="K541" s="34"/>
      <c r="L541" s="10"/>
      <c r="M541" s="10"/>
      <c r="N541" s="6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39"/>
      <c r="H542" s="39"/>
      <c r="I542" s="60"/>
      <c r="J542" s="10"/>
      <c r="K542" s="34"/>
      <c r="L542" s="10"/>
      <c r="M542" s="10"/>
      <c r="N542" s="6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39"/>
      <c r="H543" s="39"/>
      <c r="I543" s="60"/>
      <c r="J543" s="10"/>
      <c r="K543" s="34"/>
      <c r="L543" s="10"/>
      <c r="M543" s="10"/>
      <c r="N543" s="6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39"/>
      <c r="H544" s="39"/>
      <c r="I544" s="60"/>
      <c r="J544" s="10"/>
      <c r="K544" s="34"/>
      <c r="L544" s="10"/>
      <c r="M544" s="10"/>
      <c r="N544" s="6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39"/>
      <c r="H545" s="39"/>
      <c r="I545" s="60"/>
      <c r="J545" s="10"/>
      <c r="K545" s="34"/>
      <c r="L545" s="10"/>
      <c r="M545" s="10"/>
      <c r="N545" s="6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39"/>
      <c r="H546" s="39"/>
      <c r="I546" s="60"/>
      <c r="J546" s="10"/>
      <c r="K546" s="34"/>
      <c r="L546" s="10"/>
      <c r="M546" s="10"/>
      <c r="N546" s="6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39"/>
      <c r="H547" s="39"/>
      <c r="I547" s="60"/>
      <c r="J547" s="10"/>
      <c r="K547" s="34"/>
      <c r="L547" s="10"/>
      <c r="M547" s="10"/>
      <c r="N547" s="6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39"/>
      <c r="H548" s="39"/>
      <c r="I548" s="60"/>
      <c r="J548" s="10"/>
      <c r="K548" s="34"/>
      <c r="L548" s="10"/>
      <c r="M548" s="10"/>
      <c r="N548" s="6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39"/>
      <c r="H549" s="39"/>
      <c r="I549" s="60"/>
      <c r="J549" s="10"/>
      <c r="K549" s="34"/>
      <c r="L549" s="10"/>
      <c r="M549" s="10"/>
      <c r="N549" s="6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39"/>
      <c r="H550" s="39"/>
      <c r="I550" s="60"/>
      <c r="J550" s="10"/>
      <c r="K550" s="34"/>
      <c r="L550" s="10"/>
      <c r="M550" s="10"/>
      <c r="N550" s="6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39"/>
      <c r="H551" s="39"/>
      <c r="I551" s="60"/>
      <c r="J551" s="10"/>
      <c r="K551" s="34"/>
      <c r="L551" s="10"/>
      <c r="M551" s="10"/>
      <c r="N551" s="6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39"/>
      <c r="H552" s="39"/>
      <c r="I552" s="60"/>
      <c r="J552" s="10"/>
      <c r="K552" s="34"/>
      <c r="L552" s="10"/>
      <c r="M552" s="10"/>
      <c r="N552" s="6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39"/>
      <c r="H553" s="39"/>
      <c r="I553" s="60"/>
      <c r="J553" s="10"/>
      <c r="K553" s="34"/>
      <c r="L553" s="10"/>
      <c r="M553" s="10"/>
      <c r="N553" s="6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39"/>
      <c r="H554" s="39"/>
      <c r="I554" s="60"/>
      <c r="J554" s="10"/>
      <c r="K554" s="34"/>
      <c r="L554" s="10"/>
      <c r="M554" s="10"/>
      <c r="N554" s="6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39"/>
      <c r="H555" s="39"/>
      <c r="I555" s="60"/>
      <c r="J555" s="10"/>
      <c r="K555" s="34"/>
      <c r="L555" s="10"/>
      <c r="M555" s="10"/>
      <c r="N555" s="6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39"/>
      <c r="H556" s="39"/>
      <c r="I556" s="60"/>
      <c r="J556" s="10"/>
      <c r="K556" s="34"/>
      <c r="L556" s="10"/>
      <c r="M556" s="10"/>
      <c r="N556" s="6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39"/>
      <c r="H557" s="39"/>
      <c r="I557" s="60"/>
      <c r="J557" s="10"/>
      <c r="K557" s="34"/>
      <c r="L557" s="10"/>
      <c r="M557" s="10"/>
      <c r="N557" s="6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39"/>
      <c r="H558" s="39"/>
      <c r="I558" s="60"/>
      <c r="J558" s="10"/>
      <c r="K558" s="34"/>
      <c r="L558" s="10"/>
      <c r="M558" s="10"/>
      <c r="N558" s="6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39"/>
      <c r="H559" s="39"/>
      <c r="I559" s="60"/>
      <c r="J559" s="10"/>
      <c r="K559" s="34"/>
      <c r="L559" s="10"/>
      <c r="M559" s="10"/>
      <c r="N559" s="6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39"/>
      <c r="H560" s="39"/>
      <c r="I560" s="60"/>
      <c r="J560" s="10"/>
      <c r="K560" s="34"/>
      <c r="L560" s="10"/>
      <c r="M560" s="10"/>
      <c r="N560" s="6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39"/>
      <c r="H561" s="39"/>
      <c r="I561" s="60"/>
      <c r="J561" s="10"/>
      <c r="K561" s="34"/>
      <c r="L561" s="10"/>
      <c r="M561" s="10"/>
      <c r="N561" s="6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39"/>
      <c r="H562" s="39"/>
      <c r="I562" s="60"/>
      <c r="J562" s="10"/>
      <c r="K562" s="34"/>
      <c r="L562" s="10"/>
      <c r="M562" s="10"/>
      <c r="N562" s="6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39"/>
      <c r="H563" s="39"/>
      <c r="I563" s="60"/>
      <c r="J563" s="10"/>
      <c r="K563" s="34"/>
      <c r="L563" s="10"/>
      <c r="M563" s="10"/>
      <c r="N563" s="6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39"/>
      <c r="H564" s="39"/>
      <c r="I564" s="60"/>
      <c r="J564" s="10"/>
      <c r="K564" s="34"/>
      <c r="L564" s="10"/>
      <c r="M564" s="10"/>
      <c r="N564" s="6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39"/>
      <c r="H565" s="39"/>
      <c r="I565" s="60"/>
      <c r="J565" s="10"/>
      <c r="K565" s="34"/>
      <c r="L565" s="10"/>
      <c r="M565" s="10"/>
      <c r="N565" s="6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39"/>
      <c r="H566" s="39"/>
      <c r="I566" s="60"/>
      <c r="J566" s="10"/>
      <c r="K566" s="34"/>
      <c r="L566" s="10"/>
      <c r="M566" s="10"/>
      <c r="N566" s="6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39"/>
      <c r="H567" s="39"/>
      <c r="I567" s="60"/>
      <c r="J567" s="10"/>
      <c r="K567" s="34"/>
      <c r="L567" s="10"/>
      <c r="M567" s="10"/>
      <c r="N567" s="6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39"/>
      <c r="H568" s="39"/>
      <c r="I568" s="60"/>
      <c r="J568" s="10"/>
      <c r="K568" s="34"/>
      <c r="L568" s="10"/>
      <c r="M568" s="10"/>
      <c r="N568" s="6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39"/>
      <c r="H569" s="39"/>
      <c r="I569" s="60"/>
      <c r="J569" s="10"/>
      <c r="K569" s="34"/>
      <c r="L569" s="10"/>
      <c r="M569" s="10"/>
      <c r="N569" s="6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39"/>
      <c r="H570" s="39"/>
      <c r="I570" s="60"/>
      <c r="J570" s="10"/>
      <c r="K570" s="34"/>
      <c r="L570" s="10"/>
      <c r="M570" s="10"/>
      <c r="N570" s="6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39"/>
      <c r="H571" s="39"/>
      <c r="I571" s="60"/>
      <c r="J571" s="10"/>
      <c r="K571" s="34"/>
      <c r="L571" s="10"/>
      <c r="M571" s="10"/>
      <c r="N571" s="6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39"/>
      <c r="H572" s="39"/>
      <c r="I572" s="60"/>
      <c r="J572" s="10"/>
      <c r="K572" s="34"/>
      <c r="L572" s="10"/>
      <c r="M572" s="10"/>
      <c r="N572" s="6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39"/>
      <c r="H573" s="39"/>
      <c r="I573" s="60"/>
      <c r="J573" s="10"/>
      <c r="K573" s="34"/>
      <c r="L573" s="10"/>
      <c r="M573" s="10"/>
      <c r="N573" s="6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39"/>
      <c r="H574" s="39"/>
      <c r="I574" s="60"/>
      <c r="J574" s="10"/>
      <c r="K574" s="34"/>
      <c r="L574" s="10"/>
      <c r="M574" s="10"/>
      <c r="N574" s="6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39"/>
      <c r="H575" s="39"/>
      <c r="I575" s="60"/>
      <c r="J575" s="10"/>
      <c r="K575" s="34"/>
      <c r="L575" s="10"/>
      <c r="M575" s="10"/>
      <c r="N575" s="6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39"/>
      <c r="H576" s="39"/>
      <c r="I576" s="60"/>
      <c r="J576" s="10"/>
      <c r="K576" s="34"/>
      <c r="L576" s="10"/>
      <c r="M576" s="10"/>
      <c r="N576" s="6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39"/>
      <c r="H577" s="39"/>
      <c r="I577" s="60"/>
      <c r="J577" s="10"/>
      <c r="K577" s="34"/>
      <c r="L577" s="10"/>
      <c r="M577" s="10"/>
      <c r="N577" s="6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39"/>
      <c r="H578" s="39"/>
      <c r="I578" s="60"/>
      <c r="J578" s="10"/>
      <c r="K578" s="34"/>
      <c r="L578" s="10"/>
      <c r="M578" s="10"/>
      <c r="N578" s="6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39"/>
      <c r="H579" s="39"/>
      <c r="I579" s="60"/>
      <c r="J579" s="10"/>
      <c r="K579" s="34"/>
      <c r="L579" s="10"/>
      <c r="M579" s="10"/>
      <c r="N579" s="6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39"/>
      <c r="H580" s="39"/>
      <c r="I580" s="60"/>
      <c r="J580" s="10"/>
      <c r="K580" s="34"/>
      <c r="L580" s="10"/>
      <c r="M580" s="10"/>
      <c r="N580" s="6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39"/>
      <c r="H581" s="39"/>
      <c r="I581" s="60"/>
      <c r="J581" s="10"/>
      <c r="K581" s="34"/>
      <c r="L581" s="10"/>
      <c r="M581" s="10"/>
      <c r="N581" s="6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39"/>
      <c r="H582" s="39"/>
      <c r="I582" s="60"/>
      <c r="J582" s="10"/>
      <c r="K582" s="34"/>
      <c r="L582" s="10"/>
      <c r="M582" s="10"/>
      <c r="N582" s="6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39"/>
      <c r="H583" s="39"/>
      <c r="I583" s="60"/>
      <c r="J583" s="10"/>
      <c r="K583" s="34"/>
      <c r="L583" s="10"/>
      <c r="M583" s="10"/>
      <c r="N583" s="6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39"/>
      <c r="H584" s="39"/>
      <c r="I584" s="60"/>
      <c r="J584" s="10"/>
      <c r="K584" s="34"/>
      <c r="L584" s="10"/>
      <c r="M584" s="10"/>
      <c r="N584" s="6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39"/>
      <c r="H585" s="39"/>
      <c r="I585" s="60"/>
      <c r="J585" s="10"/>
      <c r="K585" s="34"/>
      <c r="L585" s="10"/>
      <c r="M585" s="10"/>
      <c r="N585" s="6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39"/>
      <c r="H586" s="39"/>
      <c r="I586" s="60"/>
      <c r="J586" s="10"/>
      <c r="K586" s="34"/>
      <c r="L586" s="10"/>
      <c r="M586" s="10"/>
      <c r="N586" s="6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39"/>
      <c r="H587" s="39"/>
      <c r="I587" s="60"/>
      <c r="J587" s="10"/>
      <c r="K587" s="34"/>
      <c r="L587" s="10"/>
      <c r="M587" s="10"/>
      <c r="N587" s="6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39"/>
      <c r="H588" s="39"/>
      <c r="I588" s="60"/>
      <c r="J588" s="10"/>
      <c r="K588" s="34"/>
      <c r="L588" s="10"/>
      <c r="M588" s="10"/>
      <c r="N588" s="6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39"/>
      <c r="H589" s="39"/>
      <c r="I589" s="60"/>
      <c r="J589" s="10"/>
      <c r="K589" s="34"/>
      <c r="L589" s="10"/>
      <c r="M589" s="10"/>
      <c r="N589" s="6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39"/>
      <c r="H590" s="39"/>
      <c r="I590" s="60"/>
      <c r="J590" s="10"/>
      <c r="K590" s="34"/>
      <c r="L590" s="10"/>
      <c r="M590" s="10"/>
      <c r="N590" s="6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39"/>
      <c r="H591" s="39"/>
      <c r="I591" s="60"/>
      <c r="J591" s="10"/>
      <c r="K591" s="34"/>
      <c r="L591" s="10"/>
      <c r="M591" s="10"/>
      <c r="N591" s="6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39"/>
      <c r="H592" s="39"/>
      <c r="I592" s="60"/>
      <c r="J592" s="10"/>
      <c r="K592" s="34"/>
      <c r="L592" s="10"/>
      <c r="M592" s="10"/>
      <c r="N592" s="6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39"/>
      <c r="H593" s="39"/>
      <c r="I593" s="60"/>
      <c r="J593" s="10"/>
      <c r="K593" s="34"/>
      <c r="L593" s="10"/>
      <c r="M593" s="10"/>
      <c r="N593" s="6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39"/>
      <c r="H594" s="39"/>
      <c r="I594" s="60"/>
      <c r="J594" s="10"/>
      <c r="K594" s="34"/>
      <c r="L594" s="10"/>
      <c r="M594" s="10"/>
      <c r="N594" s="6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39"/>
      <c r="H595" s="39"/>
      <c r="I595" s="60"/>
      <c r="J595" s="10"/>
      <c r="K595" s="34"/>
      <c r="L595" s="10"/>
      <c r="M595" s="10"/>
      <c r="N595" s="6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39"/>
      <c r="H596" s="39"/>
      <c r="I596" s="60"/>
      <c r="J596" s="10"/>
      <c r="K596" s="34"/>
      <c r="L596" s="10"/>
      <c r="M596" s="10"/>
      <c r="N596" s="6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39"/>
      <c r="H597" s="39"/>
      <c r="I597" s="60"/>
      <c r="J597" s="10"/>
      <c r="K597" s="34"/>
      <c r="L597" s="10"/>
      <c r="M597" s="10"/>
      <c r="N597" s="6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39"/>
      <c r="H598" s="39"/>
      <c r="I598" s="60"/>
      <c r="J598" s="10"/>
      <c r="K598" s="34"/>
      <c r="L598" s="10"/>
      <c r="M598" s="10"/>
      <c r="N598" s="6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39"/>
      <c r="H599" s="39"/>
      <c r="I599" s="60"/>
      <c r="J599" s="10"/>
      <c r="K599" s="34"/>
      <c r="L599" s="10"/>
      <c r="M599" s="10"/>
      <c r="N599" s="6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39"/>
      <c r="H600" s="39"/>
      <c r="I600" s="60"/>
      <c r="J600" s="10"/>
      <c r="K600" s="34"/>
      <c r="L600" s="10"/>
      <c r="M600" s="10"/>
      <c r="N600" s="6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39"/>
      <c r="H601" s="39"/>
      <c r="I601" s="60"/>
      <c r="J601" s="10"/>
      <c r="K601" s="34"/>
      <c r="L601" s="10"/>
      <c r="M601" s="10"/>
      <c r="N601" s="6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39"/>
      <c r="H602" s="39"/>
      <c r="I602" s="60"/>
      <c r="J602" s="10"/>
      <c r="K602" s="34"/>
      <c r="L602" s="10"/>
      <c r="M602" s="10"/>
      <c r="N602" s="6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39"/>
      <c r="H603" s="39"/>
      <c r="I603" s="60"/>
      <c r="J603" s="10"/>
      <c r="K603" s="34"/>
      <c r="L603" s="10"/>
      <c r="M603" s="10"/>
      <c r="N603" s="6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39"/>
      <c r="H604" s="39"/>
      <c r="I604" s="60"/>
      <c r="J604" s="10"/>
      <c r="K604" s="34"/>
      <c r="L604" s="10"/>
      <c r="M604" s="10"/>
      <c r="N604" s="6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39"/>
      <c r="H605" s="39"/>
      <c r="I605" s="60"/>
      <c r="J605" s="10"/>
      <c r="K605" s="34"/>
      <c r="L605" s="10"/>
      <c r="M605" s="10"/>
      <c r="N605" s="6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39"/>
      <c r="H606" s="39"/>
      <c r="I606" s="60"/>
      <c r="J606" s="10"/>
      <c r="K606" s="34"/>
      <c r="L606" s="10"/>
      <c r="M606" s="10"/>
      <c r="N606" s="6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39"/>
      <c r="H607" s="39"/>
      <c r="I607" s="60"/>
      <c r="J607" s="10"/>
      <c r="K607" s="34"/>
      <c r="L607" s="10"/>
      <c r="M607" s="10"/>
      <c r="N607" s="6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39"/>
      <c r="H608" s="39"/>
      <c r="I608" s="60"/>
      <c r="J608" s="10"/>
      <c r="K608" s="34"/>
      <c r="L608" s="10"/>
      <c r="M608" s="10"/>
      <c r="N608" s="6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39"/>
      <c r="H609" s="39"/>
      <c r="I609" s="60"/>
      <c r="J609" s="10"/>
      <c r="K609" s="34"/>
      <c r="L609" s="10"/>
      <c r="M609" s="10"/>
      <c r="N609" s="6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39"/>
      <c r="H610" s="39"/>
      <c r="I610" s="60"/>
      <c r="J610" s="10"/>
      <c r="K610" s="34"/>
      <c r="L610" s="10"/>
      <c r="M610" s="10"/>
      <c r="N610" s="6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39"/>
      <c r="H611" s="39"/>
      <c r="I611" s="60"/>
      <c r="J611" s="10"/>
      <c r="K611" s="34"/>
      <c r="L611" s="10"/>
      <c r="M611" s="10"/>
      <c r="N611" s="6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39"/>
      <c r="H612" s="39"/>
      <c r="I612" s="60"/>
      <c r="J612" s="10"/>
      <c r="K612" s="34"/>
      <c r="L612" s="10"/>
      <c r="M612" s="10"/>
      <c r="N612" s="6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39"/>
      <c r="H613" s="39"/>
      <c r="I613" s="60"/>
      <c r="J613" s="10"/>
      <c r="K613" s="34"/>
      <c r="L613" s="10"/>
      <c r="M613" s="10"/>
      <c r="N613" s="6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39"/>
      <c r="H614" s="39"/>
      <c r="I614" s="60"/>
      <c r="J614" s="10"/>
      <c r="K614" s="34"/>
      <c r="L614" s="10"/>
      <c r="M614" s="10"/>
      <c r="N614" s="6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39"/>
      <c r="H615" s="39"/>
      <c r="I615" s="60"/>
      <c r="J615" s="10"/>
      <c r="K615" s="34"/>
      <c r="L615" s="10"/>
      <c r="M615" s="10"/>
      <c r="N615" s="6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39"/>
      <c r="H616" s="39"/>
      <c r="I616" s="60"/>
      <c r="J616" s="10"/>
      <c r="K616" s="34"/>
      <c r="L616" s="10"/>
      <c r="M616" s="10"/>
      <c r="N616" s="6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39"/>
      <c r="H617" s="39"/>
      <c r="I617" s="60"/>
      <c r="J617" s="10"/>
      <c r="K617" s="34"/>
      <c r="L617" s="10"/>
      <c r="M617" s="10"/>
      <c r="N617" s="6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39"/>
      <c r="H618" s="39"/>
      <c r="I618" s="60"/>
      <c r="J618" s="10"/>
      <c r="K618" s="34"/>
      <c r="L618" s="10"/>
      <c r="M618" s="10"/>
      <c r="N618" s="6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39"/>
      <c r="H619" s="39"/>
      <c r="I619" s="60"/>
      <c r="J619" s="10"/>
      <c r="K619" s="34"/>
      <c r="L619" s="10"/>
      <c r="M619" s="10"/>
      <c r="N619" s="6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39"/>
      <c r="H620" s="39"/>
      <c r="I620" s="60"/>
      <c r="J620" s="10"/>
      <c r="K620" s="34"/>
      <c r="L620" s="10"/>
      <c r="M620" s="10"/>
      <c r="N620" s="6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39"/>
      <c r="H621" s="39"/>
      <c r="I621" s="60"/>
      <c r="J621" s="10"/>
      <c r="K621" s="34"/>
      <c r="L621" s="10"/>
      <c r="M621" s="10"/>
      <c r="N621" s="6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39"/>
      <c r="H622" s="39"/>
      <c r="I622" s="60"/>
      <c r="J622" s="10"/>
      <c r="K622" s="34"/>
      <c r="L622" s="10"/>
      <c r="M622" s="10"/>
      <c r="N622" s="6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39"/>
      <c r="H623" s="39"/>
      <c r="I623" s="60"/>
      <c r="J623" s="10"/>
      <c r="K623" s="34"/>
      <c r="L623" s="10"/>
      <c r="M623" s="10"/>
      <c r="N623" s="6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39"/>
      <c r="H624" s="39"/>
      <c r="I624" s="60"/>
      <c r="J624" s="10"/>
      <c r="K624" s="34"/>
      <c r="L624" s="10"/>
      <c r="M624" s="10"/>
      <c r="N624" s="6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39"/>
      <c r="H625" s="39"/>
      <c r="I625" s="60"/>
      <c r="J625" s="10"/>
      <c r="K625" s="34"/>
      <c r="L625" s="10"/>
      <c r="M625" s="10"/>
      <c r="N625" s="6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39"/>
      <c r="H626" s="39"/>
      <c r="I626" s="60"/>
      <c r="J626" s="10"/>
      <c r="K626" s="34"/>
      <c r="L626" s="10"/>
      <c r="M626" s="10"/>
      <c r="N626" s="6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39"/>
      <c r="H627" s="39"/>
      <c r="I627" s="60"/>
      <c r="J627" s="10"/>
      <c r="K627" s="34"/>
      <c r="L627" s="10"/>
      <c r="M627" s="10"/>
      <c r="N627" s="6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39"/>
      <c r="H628" s="39"/>
      <c r="I628" s="60"/>
      <c r="J628" s="10"/>
      <c r="K628" s="34"/>
      <c r="L628" s="10"/>
      <c r="M628" s="10"/>
      <c r="N628" s="6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39"/>
      <c r="H629" s="39"/>
      <c r="I629" s="60"/>
      <c r="J629" s="10"/>
      <c r="K629" s="34"/>
      <c r="L629" s="10"/>
      <c r="M629" s="10"/>
      <c r="N629" s="6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39"/>
      <c r="H630" s="39"/>
      <c r="I630" s="60"/>
      <c r="J630" s="10"/>
      <c r="K630" s="34"/>
      <c r="L630" s="10"/>
      <c r="M630" s="10"/>
      <c r="N630" s="6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39"/>
      <c r="H631" s="39"/>
      <c r="I631" s="60"/>
      <c r="J631" s="10"/>
      <c r="K631" s="34"/>
      <c r="L631" s="10"/>
      <c r="M631" s="10"/>
      <c r="N631" s="6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39"/>
      <c r="H632" s="39"/>
      <c r="I632" s="60"/>
      <c r="J632" s="10"/>
      <c r="K632" s="34"/>
      <c r="L632" s="10"/>
      <c r="M632" s="10"/>
      <c r="N632" s="6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39"/>
      <c r="H633" s="39"/>
      <c r="I633" s="60"/>
      <c r="J633" s="10"/>
      <c r="K633" s="34"/>
      <c r="L633" s="10"/>
      <c r="M633" s="10"/>
      <c r="N633" s="6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39"/>
      <c r="H634" s="39"/>
      <c r="I634" s="60"/>
      <c r="J634" s="10"/>
      <c r="K634" s="34"/>
      <c r="L634" s="10"/>
      <c r="M634" s="10"/>
      <c r="N634" s="6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39"/>
      <c r="H635" s="39"/>
      <c r="I635" s="60"/>
      <c r="J635" s="10"/>
      <c r="K635" s="34"/>
      <c r="L635" s="10"/>
      <c r="M635" s="10"/>
      <c r="N635" s="6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39"/>
      <c r="H636" s="39"/>
      <c r="I636" s="60"/>
      <c r="J636" s="10"/>
      <c r="K636" s="34"/>
      <c r="L636" s="10"/>
      <c r="M636" s="10"/>
      <c r="N636" s="6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39"/>
      <c r="H637" s="39"/>
      <c r="I637" s="60"/>
      <c r="J637" s="10"/>
      <c r="K637" s="34"/>
      <c r="L637" s="10"/>
      <c r="M637" s="10"/>
      <c r="N637" s="6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39"/>
      <c r="H638" s="39"/>
      <c r="I638" s="60"/>
      <c r="J638" s="10"/>
      <c r="K638" s="34"/>
      <c r="L638" s="10"/>
      <c r="M638" s="10"/>
      <c r="N638" s="6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39"/>
      <c r="H639" s="39"/>
      <c r="I639" s="60"/>
      <c r="J639" s="10"/>
      <c r="K639" s="34"/>
      <c r="L639" s="10"/>
      <c r="M639" s="10"/>
      <c r="N639" s="6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39"/>
      <c r="H640" s="39"/>
      <c r="I640" s="60"/>
      <c r="J640" s="10"/>
      <c r="K640" s="34"/>
      <c r="L640" s="10"/>
      <c r="M640" s="10"/>
      <c r="N640" s="6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39"/>
      <c r="H641" s="39"/>
      <c r="I641" s="60"/>
      <c r="J641" s="10"/>
      <c r="K641" s="34"/>
      <c r="L641" s="10"/>
      <c r="M641" s="10"/>
      <c r="N641" s="6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39"/>
      <c r="H642" s="39"/>
      <c r="I642" s="60"/>
      <c r="J642" s="10"/>
      <c r="K642" s="34"/>
      <c r="L642" s="10"/>
      <c r="M642" s="10"/>
      <c r="N642" s="6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39"/>
      <c r="H643" s="39"/>
      <c r="I643" s="60"/>
      <c r="J643" s="10"/>
      <c r="K643" s="34"/>
      <c r="L643" s="10"/>
      <c r="M643" s="10"/>
      <c r="N643" s="6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39"/>
      <c r="H644" s="39"/>
      <c r="I644" s="60"/>
      <c r="J644" s="10"/>
      <c r="K644" s="34"/>
      <c r="L644" s="10"/>
      <c r="M644" s="10"/>
      <c r="N644" s="6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39"/>
      <c r="H645" s="39"/>
      <c r="I645" s="60"/>
      <c r="J645" s="10"/>
      <c r="K645" s="34"/>
      <c r="L645" s="10"/>
      <c r="M645" s="10"/>
      <c r="N645" s="6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39"/>
      <c r="H646" s="39"/>
      <c r="I646" s="60"/>
      <c r="J646" s="10"/>
      <c r="K646" s="34"/>
      <c r="L646" s="10"/>
      <c r="M646" s="10"/>
      <c r="N646" s="6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39"/>
      <c r="H647" s="39"/>
      <c r="I647" s="60"/>
      <c r="J647" s="10"/>
      <c r="K647" s="34"/>
      <c r="L647" s="10"/>
      <c r="M647" s="10"/>
      <c r="N647" s="6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39"/>
      <c r="H648" s="39"/>
      <c r="I648" s="60"/>
      <c r="J648" s="10"/>
      <c r="K648" s="34"/>
      <c r="L648" s="10"/>
      <c r="M648" s="10"/>
      <c r="N648" s="6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39"/>
      <c r="H649" s="39"/>
      <c r="I649" s="60"/>
      <c r="J649" s="10"/>
      <c r="K649" s="34"/>
      <c r="L649" s="10"/>
      <c r="M649" s="10"/>
      <c r="N649" s="6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39"/>
      <c r="H650" s="39"/>
      <c r="I650" s="60"/>
      <c r="J650" s="10"/>
      <c r="K650" s="34"/>
      <c r="L650" s="10"/>
      <c r="M650" s="10"/>
      <c r="N650" s="6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39"/>
      <c r="H651" s="39"/>
      <c r="I651" s="60"/>
      <c r="J651" s="10"/>
      <c r="K651" s="34"/>
      <c r="L651" s="10"/>
      <c r="M651" s="10"/>
      <c r="N651" s="6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39"/>
      <c r="H652" s="39"/>
      <c r="I652" s="60"/>
      <c r="J652" s="10"/>
      <c r="K652" s="34"/>
      <c r="L652" s="10"/>
      <c r="M652" s="10"/>
      <c r="N652" s="6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39"/>
      <c r="H653" s="39"/>
      <c r="I653" s="60"/>
      <c r="J653" s="10"/>
      <c r="K653" s="34"/>
      <c r="L653" s="10"/>
      <c r="M653" s="10"/>
      <c r="N653" s="6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39"/>
      <c r="H654" s="39"/>
      <c r="I654" s="60"/>
      <c r="J654" s="10"/>
      <c r="K654" s="34"/>
      <c r="L654" s="10"/>
      <c r="M654" s="10"/>
      <c r="N654" s="6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39"/>
      <c r="H655" s="39"/>
      <c r="I655" s="60"/>
      <c r="J655" s="10"/>
      <c r="K655" s="34"/>
      <c r="L655" s="10"/>
      <c r="M655" s="10"/>
      <c r="N655" s="6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39"/>
      <c r="H656" s="39"/>
      <c r="I656" s="60"/>
      <c r="J656" s="10"/>
      <c r="K656" s="34"/>
      <c r="L656" s="10"/>
      <c r="M656" s="10"/>
      <c r="N656" s="6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39"/>
      <c r="H657" s="39"/>
      <c r="I657" s="60"/>
      <c r="J657" s="10"/>
      <c r="K657" s="34"/>
      <c r="L657" s="10"/>
      <c r="M657" s="10"/>
      <c r="N657" s="6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39"/>
      <c r="H658" s="39"/>
      <c r="I658" s="60"/>
      <c r="J658" s="10"/>
      <c r="K658" s="34"/>
      <c r="L658" s="10"/>
      <c r="M658" s="10"/>
      <c r="N658" s="6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39"/>
      <c r="H659" s="39"/>
      <c r="I659" s="60"/>
      <c r="J659" s="10"/>
      <c r="K659" s="34"/>
      <c r="L659" s="10"/>
      <c r="M659" s="10"/>
      <c r="N659" s="6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39"/>
      <c r="H660" s="39"/>
      <c r="I660" s="60"/>
      <c r="J660" s="10"/>
      <c r="K660" s="34"/>
      <c r="L660" s="10"/>
      <c r="M660" s="10"/>
      <c r="N660" s="6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39"/>
      <c r="H661" s="39"/>
      <c r="I661" s="60"/>
      <c r="J661" s="10"/>
      <c r="K661" s="34"/>
      <c r="L661" s="10"/>
      <c r="M661" s="10"/>
      <c r="N661" s="6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39"/>
      <c r="H662" s="39"/>
      <c r="I662" s="60"/>
      <c r="J662" s="10"/>
      <c r="K662" s="34"/>
      <c r="L662" s="10"/>
      <c r="M662" s="10"/>
      <c r="N662" s="6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39"/>
      <c r="H663" s="39"/>
      <c r="I663" s="60"/>
      <c r="J663" s="10"/>
      <c r="K663" s="34"/>
      <c r="L663" s="10"/>
      <c r="M663" s="10"/>
      <c r="N663" s="6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39"/>
      <c r="H664" s="39"/>
      <c r="I664" s="60"/>
      <c r="J664" s="10"/>
      <c r="K664" s="34"/>
      <c r="L664" s="10"/>
      <c r="M664" s="10"/>
      <c r="N664" s="6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39"/>
      <c r="H665" s="39"/>
      <c r="I665" s="60"/>
      <c r="J665" s="10"/>
      <c r="K665" s="34"/>
      <c r="L665" s="10"/>
      <c r="M665" s="10"/>
      <c r="N665" s="6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39"/>
      <c r="H666" s="39"/>
      <c r="I666" s="60"/>
      <c r="J666" s="10"/>
      <c r="K666" s="34"/>
      <c r="L666" s="10"/>
      <c r="M666" s="10"/>
      <c r="N666" s="6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39"/>
      <c r="H667" s="39"/>
      <c r="I667" s="60"/>
      <c r="J667" s="10"/>
      <c r="K667" s="34"/>
      <c r="L667" s="10"/>
      <c r="M667" s="10"/>
      <c r="N667" s="6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39"/>
      <c r="H668" s="39"/>
      <c r="I668" s="60"/>
      <c r="J668" s="10"/>
      <c r="K668" s="34"/>
      <c r="L668" s="10"/>
      <c r="M668" s="10"/>
      <c r="N668" s="6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39"/>
      <c r="H669" s="39"/>
      <c r="I669" s="60"/>
      <c r="J669" s="10"/>
      <c r="K669" s="34"/>
      <c r="L669" s="10"/>
      <c r="M669" s="10"/>
      <c r="N669" s="6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39"/>
      <c r="H670" s="39"/>
      <c r="I670" s="60"/>
      <c r="J670" s="10"/>
      <c r="K670" s="34"/>
      <c r="L670" s="10"/>
      <c r="M670" s="10"/>
      <c r="N670" s="6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39"/>
      <c r="H671" s="39"/>
      <c r="I671" s="60"/>
      <c r="J671" s="10"/>
      <c r="K671" s="34"/>
      <c r="L671" s="10"/>
      <c r="M671" s="10"/>
      <c r="N671" s="6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39"/>
      <c r="H672" s="39"/>
      <c r="I672" s="60"/>
      <c r="J672" s="10"/>
      <c r="K672" s="34"/>
      <c r="L672" s="10"/>
      <c r="M672" s="10"/>
      <c r="N672" s="6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39"/>
      <c r="H673" s="39"/>
      <c r="I673" s="60"/>
      <c r="J673" s="10"/>
      <c r="K673" s="34"/>
      <c r="L673" s="10"/>
      <c r="M673" s="10"/>
      <c r="N673" s="6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39"/>
      <c r="H674" s="39"/>
      <c r="I674" s="60"/>
      <c r="J674" s="10"/>
      <c r="K674" s="34"/>
      <c r="L674" s="10"/>
      <c r="M674" s="10"/>
      <c r="N674" s="6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39"/>
      <c r="H675" s="39"/>
      <c r="I675" s="60"/>
      <c r="J675" s="10"/>
      <c r="K675" s="34"/>
      <c r="L675" s="10"/>
      <c r="M675" s="10"/>
      <c r="N675" s="6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39"/>
      <c r="H676" s="39"/>
      <c r="I676" s="60"/>
      <c r="J676" s="10"/>
      <c r="K676" s="34"/>
      <c r="L676" s="10"/>
      <c r="M676" s="10"/>
      <c r="N676" s="6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39"/>
      <c r="H677" s="39"/>
      <c r="I677" s="60"/>
      <c r="J677" s="10"/>
      <c r="K677" s="34"/>
      <c r="L677" s="10"/>
      <c r="M677" s="10"/>
      <c r="N677" s="6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39"/>
      <c r="H678" s="39"/>
      <c r="I678" s="60"/>
      <c r="J678" s="10"/>
      <c r="K678" s="34"/>
      <c r="L678" s="10"/>
      <c r="M678" s="10"/>
      <c r="N678" s="6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39"/>
      <c r="H679" s="39"/>
      <c r="I679" s="60"/>
      <c r="J679" s="10"/>
      <c r="K679" s="34"/>
      <c r="L679" s="10"/>
      <c r="M679" s="10"/>
      <c r="N679" s="6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39"/>
      <c r="H680" s="39"/>
      <c r="I680" s="60"/>
      <c r="J680" s="10"/>
      <c r="K680" s="34"/>
      <c r="L680" s="10"/>
      <c r="M680" s="10"/>
      <c r="N680" s="6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39"/>
      <c r="H681" s="39"/>
      <c r="I681" s="60"/>
      <c r="J681" s="10"/>
      <c r="K681" s="34"/>
      <c r="L681" s="10"/>
      <c r="M681" s="10"/>
      <c r="N681" s="6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39"/>
      <c r="H682" s="39"/>
      <c r="I682" s="60"/>
      <c r="J682" s="10"/>
      <c r="K682" s="34"/>
      <c r="L682" s="10"/>
      <c r="M682" s="10"/>
      <c r="N682" s="6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39"/>
      <c r="H683" s="39"/>
      <c r="I683" s="60"/>
      <c r="J683" s="10"/>
      <c r="K683" s="34"/>
      <c r="L683" s="10"/>
      <c r="M683" s="10"/>
      <c r="N683" s="6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39"/>
      <c r="H684" s="39"/>
      <c r="I684" s="60"/>
      <c r="J684" s="10"/>
      <c r="K684" s="34"/>
      <c r="L684" s="10"/>
      <c r="M684" s="10"/>
      <c r="N684" s="6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39"/>
      <c r="H685" s="39"/>
      <c r="I685" s="60"/>
      <c r="J685" s="10"/>
      <c r="K685" s="34"/>
      <c r="L685" s="10"/>
      <c r="M685" s="10"/>
      <c r="N685" s="6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39"/>
      <c r="H686" s="39"/>
      <c r="I686" s="60"/>
      <c r="J686" s="10"/>
      <c r="K686" s="34"/>
      <c r="L686" s="10"/>
      <c r="M686" s="10"/>
      <c r="N686" s="6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39"/>
      <c r="H687" s="39"/>
      <c r="I687" s="60"/>
      <c r="J687" s="10"/>
      <c r="K687" s="34"/>
      <c r="L687" s="10"/>
      <c r="M687" s="10"/>
      <c r="N687" s="6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39"/>
      <c r="H688" s="39"/>
      <c r="I688" s="60"/>
      <c r="J688" s="10"/>
      <c r="K688" s="34"/>
      <c r="L688" s="10"/>
      <c r="M688" s="10"/>
      <c r="N688" s="6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39"/>
      <c r="H689" s="39"/>
      <c r="I689" s="60"/>
      <c r="J689" s="10"/>
      <c r="K689" s="34"/>
      <c r="L689" s="10"/>
      <c r="M689" s="10"/>
      <c r="N689" s="6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39"/>
      <c r="H690" s="39"/>
      <c r="I690" s="60"/>
      <c r="J690" s="10"/>
      <c r="K690" s="34"/>
      <c r="L690" s="10"/>
      <c r="M690" s="10"/>
      <c r="N690" s="6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39"/>
      <c r="H691" s="39"/>
      <c r="I691" s="60"/>
      <c r="J691" s="10"/>
      <c r="K691" s="34"/>
      <c r="L691" s="10"/>
      <c r="M691" s="10"/>
      <c r="N691" s="6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39"/>
      <c r="H692" s="39"/>
      <c r="I692" s="60"/>
      <c r="J692" s="10"/>
      <c r="K692" s="34"/>
      <c r="L692" s="10"/>
      <c r="M692" s="10"/>
      <c r="N692" s="6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39"/>
      <c r="H693" s="39"/>
      <c r="I693" s="60"/>
      <c r="J693" s="10"/>
      <c r="K693" s="34"/>
      <c r="L693" s="10"/>
      <c r="M693" s="10"/>
      <c r="N693" s="6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39"/>
      <c r="H694" s="39"/>
      <c r="I694" s="60"/>
      <c r="J694" s="10"/>
      <c r="K694" s="34"/>
      <c r="L694" s="10"/>
      <c r="M694" s="10"/>
      <c r="N694" s="6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39"/>
      <c r="H695" s="39"/>
      <c r="I695" s="60"/>
      <c r="J695" s="10"/>
      <c r="K695" s="34"/>
      <c r="L695" s="10"/>
      <c r="M695" s="10"/>
      <c r="N695" s="6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39"/>
      <c r="H696" s="39"/>
      <c r="I696" s="60"/>
      <c r="J696" s="10"/>
      <c r="K696" s="34"/>
      <c r="L696" s="10"/>
      <c r="M696" s="10"/>
      <c r="N696" s="6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39"/>
      <c r="H697" s="39"/>
      <c r="I697" s="60"/>
      <c r="J697" s="10"/>
      <c r="K697" s="34"/>
      <c r="L697" s="10"/>
      <c r="M697" s="10"/>
      <c r="N697" s="6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39"/>
      <c r="H698" s="39"/>
      <c r="I698" s="60"/>
      <c r="J698" s="10"/>
      <c r="K698" s="34"/>
      <c r="L698" s="10"/>
      <c r="M698" s="10"/>
      <c r="N698" s="6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39"/>
      <c r="H699" s="39"/>
      <c r="I699" s="60"/>
      <c r="J699" s="10"/>
      <c r="K699" s="34"/>
      <c r="L699" s="10"/>
      <c r="M699" s="10"/>
      <c r="N699" s="6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39"/>
      <c r="H700" s="39"/>
      <c r="I700" s="60"/>
      <c r="J700" s="10"/>
      <c r="K700" s="34"/>
      <c r="L700" s="10"/>
      <c r="M700" s="10"/>
      <c r="N700" s="6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39"/>
      <c r="H701" s="39"/>
      <c r="I701" s="60"/>
      <c r="J701" s="10"/>
      <c r="K701" s="34"/>
      <c r="L701" s="10"/>
      <c r="M701" s="10"/>
      <c r="N701" s="6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39"/>
      <c r="H702" s="39"/>
      <c r="I702" s="60"/>
      <c r="J702" s="10"/>
      <c r="K702" s="34"/>
      <c r="L702" s="10"/>
      <c r="M702" s="10"/>
      <c r="N702" s="6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39"/>
      <c r="H703" s="39"/>
      <c r="I703" s="60"/>
      <c r="J703" s="10"/>
      <c r="K703" s="34"/>
      <c r="L703" s="10"/>
      <c r="M703" s="10"/>
      <c r="N703" s="6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39"/>
      <c r="H704" s="39"/>
      <c r="I704" s="60"/>
      <c r="J704" s="10"/>
      <c r="K704" s="34"/>
      <c r="L704" s="10"/>
      <c r="M704" s="10"/>
      <c r="N704" s="6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39"/>
      <c r="H705" s="39"/>
      <c r="I705" s="60"/>
      <c r="J705" s="10"/>
      <c r="K705" s="34"/>
      <c r="L705" s="10"/>
      <c r="M705" s="10"/>
      <c r="N705" s="6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39"/>
      <c r="H706" s="39"/>
      <c r="I706" s="60"/>
      <c r="J706" s="10"/>
      <c r="K706" s="34"/>
      <c r="L706" s="10"/>
      <c r="M706" s="10"/>
      <c r="N706" s="6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39"/>
      <c r="H707" s="39"/>
      <c r="I707" s="60"/>
      <c r="J707" s="10"/>
      <c r="K707" s="34"/>
      <c r="L707" s="10"/>
      <c r="M707" s="10"/>
      <c r="N707" s="6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39"/>
      <c r="H708" s="39"/>
      <c r="I708" s="60"/>
      <c r="J708" s="10"/>
      <c r="K708" s="34"/>
      <c r="L708" s="10"/>
      <c r="M708" s="10"/>
      <c r="N708" s="6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39"/>
      <c r="H709" s="39"/>
      <c r="I709" s="60"/>
      <c r="J709" s="10"/>
      <c r="K709" s="34"/>
      <c r="L709" s="10"/>
      <c r="M709" s="10"/>
      <c r="N709" s="6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39"/>
      <c r="H710" s="39"/>
      <c r="I710" s="60"/>
      <c r="J710" s="10"/>
      <c r="K710" s="34"/>
      <c r="L710" s="10"/>
      <c r="M710" s="10"/>
      <c r="N710" s="6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39"/>
      <c r="H711" s="39"/>
      <c r="I711" s="60"/>
      <c r="J711" s="10"/>
      <c r="K711" s="34"/>
      <c r="L711" s="10"/>
      <c r="M711" s="10"/>
      <c r="N711" s="6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39"/>
      <c r="H712" s="39"/>
      <c r="I712" s="60"/>
      <c r="J712" s="10"/>
      <c r="K712" s="34"/>
      <c r="L712" s="10"/>
      <c r="M712" s="10"/>
      <c r="N712" s="6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39"/>
      <c r="H713" s="39"/>
      <c r="I713" s="60"/>
      <c r="J713" s="10"/>
      <c r="K713" s="34"/>
      <c r="L713" s="10"/>
      <c r="M713" s="10"/>
      <c r="N713" s="6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39"/>
      <c r="H714" s="39"/>
      <c r="I714" s="60"/>
      <c r="J714" s="10"/>
      <c r="K714" s="34"/>
      <c r="L714" s="10"/>
      <c r="M714" s="10"/>
      <c r="N714" s="6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39"/>
      <c r="H715" s="39"/>
      <c r="I715" s="60"/>
      <c r="J715" s="10"/>
      <c r="K715" s="34"/>
      <c r="L715" s="10"/>
      <c r="M715" s="10"/>
      <c r="N715" s="6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39"/>
      <c r="H716" s="39"/>
      <c r="I716" s="60"/>
      <c r="J716" s="10"/>
      <c r="K716" s="34"/>
      <c r="L716" s="10"/>
      <c r="M716" s="10"/>
      <c r="N716" s="6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39"/>
      <c r="H717" s="39"/>
      <c r="I717" s="60"/>
      <c r="J717" s="10"/>
      <c r="K717" s="34"/>
      <c r="L717" s="10"/>
      <c r="M717" s="10"/>
      <c r="N717" s="6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39"/>
      <c r="H718" s="39"/>
      <c r="I718" s="60"/>
      <c r="J718" s="10"/>
      <c r="K718" s="34"/>
      <c r="L718" s="10"/>
      <c r="M718" s="10"/>
      <c r="N718" s="6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39"/>
      <c r="H719" s="39"/>
      <c r="I719" s="60"/>
      <c r="J719" s="10"/>
      <c r="K719" s="34"/>
      <c r="L719" s="10"/>
      <c r="M719" s="10"/>
      <c r="N719" s="6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39"/>
      <c r="H720" s="39"/>
      <c r="I720" s="60"/>
      <c r="J720" s="10"/>
      <c r="K720" s="34"/>
      <c r="L720" s="10"/>
      <c r="M720" s="10"/>
      <c r="N720" s="6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39"/>
      <c r="H721" s="39"/>
      <c r="I721" s="60"/>
      <c r="J721" s="10"/>
      <c r="K721" s="34"/>
      <c r="L721" s="10"/>
      <c r="M721" s="10"/>
      <c r="N721" s="6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39"/>
      <c r="H722" s="39"/>
      <c r="I722" s="60"/>
      <c r="J722" s="10"/>
      <c r="K722" s="34"/>
      <c r="L722" s="10"/>
      <c r="M722" s="10"/>
      <c r="N722" s="6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39"/>
      <c r="H723" s="39"/>
      <c r="I723" s="60"/>
      <c r="J723" s="10"/>
      <c r="K723" s="34"/>
      <c r="L723" s="10"/>
      <c r="M723" s="10"/>
      <c r="N723" s="6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39"/>
      <c r="H724" s="39"/>
      <c r="I724" s="60"/>
      <c r="J724" s="10"/>
      <c r="K724" s="34"/>
      <c r="L724" s="10"/>
      <c r="M724" s="10"/>
      <c r="N724" s="6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39"/>
      <c r="H725" s="39"/>
      <c r="I725" s="60"/>
      <c r="J725" s="10"/>
      <c r="K725" s="34"/>
      <c r="L725" s="10"/>
      <c r="M725" s="10"/>
      <c r="N725" s="6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39"/>
      <c r="H726" s="39"/>
      <c r="I726" s="60"/>
      <c r="J726" s="10"/>
      <c r="K726" s="34"/>
      <c r="L726" s="10"/>
      <c r="M726" s="10"/>
      <c r="N726" s="6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39"/>
      <c r="H727" s="39"/>
      <c r="I727" s="60"/>
      <c r="J727" s="10"/>
      <c r="K727" s="34"/>
      <c r="L727" s="10"/>
      <c r="M727" s="10"/>
      <c r="N727" s="6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39"/>
      <c r="H728" s="39"/>
      <c r="I728" s="60"/>
      <c r="J728" s="10"/>
      <c r="K728" s="34"/>
      <c r="L728" s="10"/>
      <c r="M728" s="10"/>
      <c r="N728" s="6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39"/>
      <c r="H729" s="39"/>
      <c r="I729" s="60"/>
      <c r="J729" s="10"/>
      <c r="K729" s="34"/>
      <c r="L729" s="10"/>
      <c r="M729" s="10"/>
      <c r="N729" s="6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39"/>
      <c r="H730" s="39"/>
      <c r="I730" s="60"/>
      <c r="J730" s="10"/>
      <c r="K730" s="34"/>
      <c r="L730" s="10"/>
      <c r="M730" s="10"/>
      <c r="N730" s="6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39"/>
      <c r="H731" s="39"/>
      <c r="I731" s="60"/>
      <c r="J731" s="10"/>
      <c r="K731" s="34"/>
      <c r="L731" s="10"/>
      <c r="M731" s="10"/>
      <c r="N731" s="6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39"/>
      <c r="H732" s="39"/>
      <c r="I732" s="60"/>
      <c r="J732" s="10"/>
      <c r="K732" s="34"/>
      <c r="L732" s="10"/>
      <c r="M732" s="10"/>
      <c r="N732" s="6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39"/>
      <c r="H733" s="39"/>
      <c r="I733" s="60"/>
      <c r="J733" s="10"/>
      <c r="K733" s="34"/>
      <c r="L733" s="10"/>
      <c r="M733" s="10"/>
      <c r="N733" s="6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39"/>
      <c r="H734" s="39"/>
      <c r="I734" s="60"/>
      <c r="J734" s="10"/>
      <c r="K734" s="34"/>
      <c r="L734" s="10"/>
      <c r="M734" s="10"/>
      <c r="N734" s="6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39"/>
      <c r="H735" s="39"/>
      <c r="I735" s="60"/>
      <c r="J735" s="10"/>
      <c r="K735" s="34"/>
      <c r="L735" s="10"/>
      <c r="M735" s="10"/>
      <c r="N735" s="6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39"/>
      <c r="H736" s="39"/>
      <c r="I736" s="60"/>
      <c r="J736" s="10"/>
      <c r="K736" s="34"/>
      <c r="L736" s="10"/>
      <c r="M736" s="10"/>
      <c r="N736" s="6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39"/>
      <c r="H737" s="39"/>
      <c r="I737" s="60"/>
      <c r="J737" s="10"/>
      <c r="K737" s="34"/>
      <c r="L737" s="10"/>
      <c r="M737" s="10"/>
      <c r="N737" s="6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39"/>
      <c r="H738" s="39"/>
      <c r="I738" s="60"/>
      <c r="J738" s="10"/>
      <c r="K738" s="34"/>
      <c r="L738" s="10"/>
      <c r="M738" s="10"/>
      <c r="N738" s="6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39"/>
      <c r="H739" s="39"/>
      <c r="I739" s="60"/>
      <c r="J739" s="10"/>
      <c r="K739" s="34"/>
      <c r="L739" s="10"/>
      <c r="M739" s="10"/>
      <c r="N739" s="6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39"/>
      <c r="H740" s="39"/>
      <c r="I740" s="60"/>
      <c r="J740" s="10"/>
      <c r="K740" s="34"/>
      <c r="L740" s="10"/>
      <c r="M740" s="10"/>
      <c r="N740" s="6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39"/>
      <c r="H741" s="39"/>
      <c r="I741" s="60"/>
      <c r="J741" s="10"/>
      <c r="K741" s="34"/>
      <c r="L741" s="10"/>
      <c r="M741" s="10"/>
      <c r="N741" s="6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39"/>
      <c r="H742" s="39"/>
      <c r="I742" s="60"/>
      <c r="J742" s="10"/>
      <c r="K742" s="34"/>
      <c r="L742" s="10"/>
      <c r="M742" s="10"/>
      <c r="N742" s="6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39"/>
      <c r="H743" s="39"/>
      <c r="I743" s="60"/>
      <c r="J743" s="10"/>
      <c r="K743" s="34"/>
      <c r="L743" s="10"/>
      <c r="M743" s="10"/>
      <c r="N743" s="6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39"/>
      <c r="H744" s="39"/>
      <c r="I744" s="60"/>
      <c r="J744" s="10"/>
      <c r="K744" s="34"/>
      <c r="L744" s="10"/>
      <c r="M744" s="10"/>
      <c r="N744" s="6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39"/>
      <c r="H745" s="39"/>
      <c r="I745" s="60"/>
      <c r="J745" s="10"/>
      <c r="K745" s="34"/>
      <c r="L745" s="10"/>
      <c r="M745" s="10"/>
      <c r="N745" s="6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39"/>
      <c r="H746" s="39"/>
      <c r="I746" s="60"/>
      <c r="J746" s="10"/>
      <c r="K746" s="34"/>
      <c r="L746" s="10"/>
      <c r="M746" s="10"/>
      <c r="N746" s="6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39"/>
      <c r="H747" s="39"/>
      <c r="I747" s="60"/>
      <c r="J747" s="10"/>
      <c r="K747" s="34"/>
      <c r="L747" s="10"/>
      <c r="M747" s="10"/>
      <c r="N747" s="6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39"/>
      <c r="H748" s="39"/>
      <c r="I748" s="60"/>
      <c r="J748" s="10"/>
      <c r="K748" s="34"/>
      <c r="L748" s="10"/>
      <c r="M748" s="10"/>
      <c r="N748" s="6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39"/>
      <c r="H749" s="39"/>
      <c r="I749" s="60"/>
      <c r="J749" s="10"/>
      <c r="K749" s="34"/>
      <c r="L749" s="10"/>
      <c r="M749" s="10"/>
      <c r="N749" s="6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39"/>
      <c r="H750" s="39"/>
      <c r="I750" s="60"/>
      <c r="J750" s="10"/>
      <c r="K750" s="34"/>
      <c r="L750" s="10"/>
      <c r="M750" s="10"/>
      <c r="N750" s="6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39"/>
      <c r="H751" s="39"/>
      <c r="I751" s="60"/>
      <c r="J751" s="10"/>
      <c r="K751" s="34"/>
      <c r="L751" s="10"/>
      <c r="M751" s="10"/>
      <c r="N751" s="6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39"/>
      <c r="H752" s="39"/>
      <c r="I752" s="60"/>
      <c r="J752" s="10"/>
      <c r="K752" s="34"/>
      <c r="L752" s="10"/>
      <c r="M752" s="10"/>
      <c r="N752" s="6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39"/>
      <c r="H753" s="39"/>
      <c r="I753" s="60"/>
      <c r="J753" s="10"/>
      <c r="K753" s="34"/>
      <c r="L753" s="10"/>
      <c r="M753" s="10"/>
      <c r="N753" s="6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39"/>
      <c r="H754" s="39"/>
      <c r="I754" s="60"/>
      <c r="J754" s="10"/>
      <c r="K754" s="34"/>
      <c r="L754" s="10"/>
      <c r="M754" s="10"/>
      <c r="N754" s="6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39"/>
      <c r="H755" s="39"/>
      <c r="I755" s="60"/>
      <c r="J755" s="10"/>
      <c r="K755" s="34"/>
      <c r="L755" s="10"/>
      <c r="M755" s="10"/>
      <c r="N755" s="6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39"/>
      <c r="H756" s="39"/>
      <c r="I756" s="60"/>
      <c r="J756" s="10"/>
      <c r="K756" s="34"/>
      <c r="L756" s="10"/>
      <c r="M756" s="10"/>
      <c r="N756" s="6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39"/>
      <c r="H757" s="39"/>
      <c r="I757" s="60"/>
      <c r="J757" s="10"/>
      <c r="K757" s="34"/>
      <c r="L757" s="10"/>
      <c r="M757" s="10"/>
      <c r="N757" s="6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39"/>
      <c r="H758" s="39"/>
      <c r="I758" s="60"/>
      <c r="J758" s="10"/>
      <c r="K758" s="34"/>
      <c r="L758" s="10"/>
      <c r="M758" s="10"/>
      <c r="N758" s="6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39"/>
      <c r="H759" s="39"/>
      <c r="I759" s="60"/>
      <c r="J759" s="10"/>
      <c r="K759" s="34"/>
      <c r="L759" s="10"/>
      <c r="M759" s="10"/>
      <c r="N759" s="6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39"/>
      <c r="H760" s="39"/>
      <c r="I760" s="60"/>
      <c r="J760" s="10"/>
      <c r="K760" s="34"/>
      <c r="L760" s="10"/>
      <c r="M760" s="10"/>
      <c r="N760" s="6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39"/>
      <c r="H761" s="39"/>
      <c r="I761" s="60"/>
      <c r="J761" s="10"/>
      <c r="K761" s="34"/>
      <c r="L761" s="10"/>
      <c r="M761" s="10"/>
      <c r="N761" s="6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39"/>
      <c r="H762" s="39"/>
      <c r="I762" s="60"/>
      <c r="J762" s="10"/>
      <c r="K762" s="34"/>
      <c r="L762" s="10"/>
      <c r="M762" s="10"/>
      <c r="N762" s="6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39"/>
      <c r="H763" s="39"/>
      <c r="I763" s="60"/>
      <c r="J763" s="10"/>
      <c r="K763" s="34"/>
      <c r="L763" s="10"/>
      <c r="M763" s="10"/>
      <c r="N763" s="6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39"/>
      <c r="H764" s="39"/>
      <c r="I764" s="60"/>
      <c r="J764" s="10"/>
      <c r="K764" s="34"/>
      <c r="L764" s="10"/>
      <c r="M764" s="10"/>
      <c r="N764" s="6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39"/>
      <c r="H765" s="39"/>
      <c r="I765" s="60"/>
      <c r="J765" s="10"/>
      <c r="K765" s="34"/>
      <c r="L765" s="10"/>
      <c r="M765" s="10"/>
      <c r="N765" s="6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39"/>
      <c r="H766" s="39"/>
      <c r="I766" s="60"/>
      <c r="J766" s="10"/>
      <c r="K766" s="34"/>
      <c r="L766" s="10"/>
      <c r="M766" s="10"/>
      <c r="N766" s="6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39"/>
      <c r="H767" s="39"/>
      <c r="I767" s="60"/>
      <c r="J767" s="10"/>
      <c r="K767" s="34"/>
      <c r="L767" s="10"/>
      <c r="M767" s="10"/>
      <c r="N767" s="6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39"/>
      <c r="H768" s="39"/>
      <c r="I768" s="60"/>
      <c r="J768" s="10"/>
      <c r="K768" s="34"/>
      <c r="L768" s="10"/>
      <c r="M768" s="10"/>
      <c r="N768" s="6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39"/>
      <c r="H769" s="39"/>
      <c r="I769" s="60"/>
      <c r="J769" s="10"/>
      <c r="K769" s="34"/>
      <c r="L769" s="10"/>
      <c r="M769" s="10"/>
      <c r="N769" s="6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39"/>
      <c r="H770" s="39"/>
      <c r="I770" s="60"/>
      <c r="J770" s="10"/>
      <c r="K770" s="34"/>
      <c r="L770" s="10"/>
      <c r="M770" s="10"/>
      <c r="N770" s="6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39"/>
      <c r="H771" s="39"/>
      <c r="I771" s="60"/>
      <c r="J771" s="10"/>
      <c r="K771" s="34"/>
      <c r="L771" s="10"/>
      <c r="M771" s="10"/>
      <c r="N771" s="6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39"/>
      <c r="H772" s="39"/>
      <c r="I772" s="60"/>
      <c r="J772" s="10"/>
      <c r="K772" s="34"/>
      <c r="L772" s="10"/>
      <c r="M772" s="10"/>
      <c r="N772" s="6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39"/>
      <c r="H773" s="39"/>
      <c r="I773" s="60"/>
      <c r="J773" s="10"/>
      <c r="K773" s="34"/>
      <c r="L773" s="10"/>
      <c r="M773" s="10"/>
      <c r="N773" s="6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39"/>
      <c r="H774" s="39"/>
      <c r="I774" s="60"/>
      <c r="J774" s="10"/>
      <c r="K774" s="34"/>
      <c r="L774" s="10"/>
      <c r="M774" s="10"/>
      <c r="N774" s="6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39"/>
      <c r="H775" s="39"/>
      <c r="I775" s="60"/>
      <c r="J775" s="10"/>
      <c r="K775" s="34"/>
      <c r="L775" s="10"/>
      <c r="M775" s="10"/>
      <c r="N775" s="6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39"/>
      <c r="H776" s="39"/>
      <c r="I776" s="60"/>
      <c r="J776" s="10"/>
      <c r="K776" s="34"/>
      <c r="L776" s="10"/>
      <c r="M776" s="10"/>
      <c r="N776" s="6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39"/>
      <c r="H777" s="39"/>
      <c r="I777" s="60"/>
      <c r="J777" s="10"/>
      <c r="K777" s="34"/>
      <c r="L777" s="10"/>
      <c r="M777" s="10"/>
      <c r="N777" s="6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39"/>
      <c r="H778" s="39"/>
      <c r="I778" s="60"/>
      <c r="J778" s="10"/>
      <c r="K778" s="34"/>
      <c r="L778" s="10"/>
      <c r="M778" s="10"/>
      <c r="N778" s="6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39"/>
      <c r="H779" s="39"/>
      <c r="I779" s="60"/>
      <c r="J779" s="10"/>
      <c r="K779" s="34"/>
      <c r="L779" s="10"/>
      <c r="M779" s="10"/>
      <c r="N779" s="6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39"/>
      <c r="H780" s="39"/>
      <c r="I780" s="60"/>
      <c r="J780" s="10"/>
      <c r="K780" s="34"/>
      <c r="L780" s="10"/>
      <c r="M780" s="10"/>
      <c r="N780" s="6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39"/>
      <c r="H781" s="39"/>
      <c r="I781" s="60"/>
      <c r="J781" s="10"/>
      <c r="K781" s="34"/>
      <c r="L781" s="10"/>
      <c r="M781" s="10"/>
      <c r="N781" s="6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39"/>
      <c r="H782" s="39"/>
      <c r="I782" s="60"/>
      <c r="J782" s="10"/>
      <c r="K782" s="34"/>
      <c r="L782" s="10"/>
      <c r="M782" s="10"/>
      <c r="N782" s="6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39"/>
      <c r="H783" s="39"/>
      <c r="I783" s="60"/>
      <c r="J783" s="10"/>
      <c r="K783" s="34"/>
      <c r="L783" s="10"/>
      <c r="M783" s="10"/>
      <c r="N783" s="6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39"/>
      <c r="H784" s="39"/>
      <c r="I784" s="60"/>
      <c r="J784" s="10"/>
      <c r="K784" s="34"/>
      <c r="L784" s="10"/>
      <c r="M784" s="10"/>
      <c r="N784" s="6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39"/>
      <c r="H785" s="39"/>
      <c r="I785" s="60"/>
      <c r="J785" s="10"/>
      <c r="K785" s="34"/>
      <c r="L785" s="10"/>
      <c r="M785" s="10"/>
      <c r="N785" s="6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39"/>
      <c r="H786" s="39"/>
      <c r="I786" s="60"/>
      <c r="J786" s="10"/>
      <c r="K786" s="34"/>
      <c r="L786" s="10"/>
      <c r="M786" s="10"/>
      <c r="N786" s="6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39"/>
      <c r="H787" s="39"/>
      <c r="I787" s="60"/>
      <c r="J787" s="10"/>
      <c r="K787" s="34"/>
      <c r="L787" s="10"/>
      <c r="M787" s="10"/>
      <c r="N787" s="6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39"/>
      <c r="H788" s="39"/>
      <c r="I788" s="60"/>
      <c r="J788" s="10"/>
      <c r="K788" s="34"/>
      <c r="L788" s="10"/>
      <c r="M788" s="10"/>
      <c r="N788" s="6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39"/>
      <c r="H789" s="39"/>
      <c r="I789" s="60"/>
      <c r="J789" s="10"/>
      <c r="K789" s="34"/>
      <c r="L789" s="10"/>
      <c r="M789" s="10"/>
      <c r="N789" s="6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39"/>
      <c r="H790" s="39"/>
      <c r="I790" s="60"/>
      <c r="J790" s="10"/>
      <c r="K790" s="34"/>
      <c r="L790" s="10"/>
      <c r="M790" s="10"/>
      <c r="N790" s="6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39"/>
      <c r="H791" s="39"/>
      <c r="I791" s="60"/>
      <c r="J791" s="10"/>
      <c r="K791" s="34"/>
      <c r="L791" s="10"/>
      <c r="M791" s="10"/>
      <c r="N791" s="6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39"/>
      <c r="H792" s="39"/>
      <c r="I792" s="60"/>
      <c r="J792" s="10"/>
      <c r="K792" s="34"/>
      <c r="L792" s="10"/>
      <c r="M792" s="10"/>
      <c r="N792" s="6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39"/>
      <c r="H793" s="39"/>
      <c r="I793" s="60"/>
      <c r="J793" s="10"/>
      <c r="K793" s="34"/>
      <c r="L793" s="10"/>
      <c r="M793" s="10"/>
      <c r="N793" s="6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39"/>
      <c r="H794" s="39"/>
      <c r="I794" s="60"/>
      <c r="J794" s="10"/>
      <c r="K794" s="34"/>
      <c r="L794" s="10"/>
      <c r="M794" s="10"/>
      <c r="N794" s="6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39"/>
      <c r="H795" s="39"/>
      <c r="I795" s="60"/>
      <c r="J795" s="10"/>
      <c r="K795" s="34"/>
      <c r="L795" s="10"/>
      <c r="M795" s="10"/>
      <c r="N795" s="6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39"/>
      <c r="H796" s="39"/>
      <c r="I796" s="60"/>
      <c r="J796" s="10"/>
      <c r="K796" s="34"/>
      <c r="L796" s="10"/>
      <c r="M796" s="10"/>
      <c r="N796" s="6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39"/>
      <c r="H797" s="39"/>
      <c r="I797" s="60"/>
      <c r="J797" s="10"/>
      <c r="K797" s="34"/>
      <c r="L797" s="10"/>
      <c r="M797" s="10"/>
      <c r="N797" s="6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39"/>
      <c r="H798" s="39"/>
      <c r="I798" s="60"/>
      <c r="J798" s="10"/>
      <c r="K798" s="34"/>
      <c r="L798" s="10"/>
      <c r="M798" s="10"/>
      <c r="N798" s="6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39"/>
      <c r="H799" s="39"/>
      <c r="I799" s="60"/>
      <c r="J799" s="10"/>
      <c r="K799" s="34"/>
      <c r="L799" s="10"/>
      <c r="M799" s="10"/>
      <c r="N799" s="6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39"/>
      <c r="H800" s="39"/>
      <c r="I800" s="60"/>
      <c r="J800" s="10"/>
      <c r="K800" s="34"/>
      <c r="L800" s="10"/>
      <c r="M800" s="10"/>
      <c r="N800" s="6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39"/>
      <c r="H801" s="39"/>
      <c r="I801" s="60"/>
      <c r="J801" s="10"/>
      <c r="K801" s="34"/>
      <c r="L801" s="10"/>
      <c r="M801" s="10"/>
      <c r="N801" s="6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39"/>
      <c r="H802" s="39"/>
      <c r="I802" s="60"/>
      <c r="J802" s="10"/>
      <c r="K802" s="34"/>
      <c r="L802" s="10"/>
      <c r="M802" s="10"/>
      <c r="N802" s="6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39"/>
      <c r="H803" s="39"/>
      <c r="I803" s="60"/>
      <c r="J803" s="10"/>
      <c r="K803" s="34"/>
      <c r="L803" s="10"/>
      <c r="M803" s="10"/>
      <c r="N803" s="6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39"/>
      <c r="H804" s="39"/>
      <c r="I804" s="60"/>
      <c r="J804" s="10"/>
      <c r="K804" s="34"/>
      <c r="L804" s="10"/>
      <c r="M804" s="10"/>
      <c r="N804" s="6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39"/>
      <c r="H805" s="39"/>
      <c r="I805" s="60"/>
      <c r="J805" s="10"/>
      <c r="K805" s="34"/>
      <c r="L805" s="10"/>
      <c r="M805" s="10"/>
      <c r="N805" s="6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39"/>
      <c r="H806" s="39"/>
      <c r="I806" s="60"/>
      <c r="J806" s="10"/>
      <c r="K806" s="34"/>
      <c r="L806" s="10"/>
      <c r="M806" s="10"/>
      <c r="N806" s="6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39"/>
      <c r="H807" s="39"/>
      <c r="I807" s="60"/>
      <c r="J807" s="10"/>
      <c r="K807" s="34"/>
      <c r="L807" s="10"/>
      <c r="M807" s="10"/>
      <c r="N807" s="6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39"/>
      <c r="H808" s="39"/>
      <c r="I808" s="60"/>
      <c r="J808" s="10"/>
      <c r="K808" s="34"/>
      <c r="L808" s="10"/>
      <c r="M808" s="10"/>
      <c r="N808" s="6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39"/>
      <c r="H809" s="39"/>
      <c r="I809" s="60"/>
      <c r="J809" s="10"/>
      <c r="K809" s="34"/>
      <c r="L809" s="10"/>
      <c r="M809" s="10"/>
      <c r="N809" s="6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39"/>
      <c r="H810" s="39"/>
      <c r="I810" s="60"/>
      <c r="J810" s="10"/>
      <c r="K810" s="34"/>
      <c r="L810" s="10"/>
      <c r="M810" s="10"/>
      <c r="N810" s="6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39"/>
      <c r="H811" s="39"/>
      <c r="I811" s="60"/>
      <c r="J811" s="10"/>
      <c r="K811" s="34"/>
      <c r="L811" s="10"/>
      <c r="M811" s="10"/>
      <c r="N811" s="6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39"/>
      <c r="H812" s="39"/>
      <c r="I812" s="60"/>
      <c r="J812" s="10"/>
      <c r="K812" s="34"/>
      <c r="L812" s="10"/>
      <c r="M812" s="10"/>
      <c r="N812" s="6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39"/>
      <c r="H813" s="39"/>
      <c r="I813" s="60"/>
      <c r="J813" s="10"/>
      <c r="K813" s="34"/>
      <c r="L813" s="10"/>
      <c r="M813" s="10"/>
      <c r="N813" s="6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39"/>
      <c r="H814" s="39"/>
      <c r="I814" s="60"/>
      <c r="J814" s="10"/>
      <c r="K814" s="34"/>
      <c r="L814" s="10"/>
      <c r="M814" s="10"/>
      <c r="N814" s="6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39"/>
      <c r="H815" s="39"/>
      <c r="I815" s="60"/>
      <c r="J815" s="10"/>
      <c r="K815" s="34"/>
      <c r="L815" s="10"/>
      <c r="M815" s="10"/>
      <c r="N815" s="6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39"/>
      <c r="H816" s="39"/>
      <c r="I816" s="60"/>
      <c r="J816" s="10"/>
      <c r="K816" s="34"/>
      <c r="L816" s="10"/>
      <c r="M816" s="10"/>
      <c r="N816" s="6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39"/>
      <c r="H817" s="39"/>
      <c r="I817" s="60"/>
      <c r="J817" s="10"/>
      <c r="K817" s="34"/>
      <c r="L817" s="10"/>
      <c r="M817" s="10"/>
      <c r="N817" s="6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39"/>
      <c r="H818" s="39"/>
      <c r="I818" s="60"/>
      <c r="J818" s="10"/>
      <c r="K818" s="34"/>
      <c r="L818" s="10"/>
      <c r="M818" s="10"/>
      <c r="N818" s="6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39"/>
      <c r="H819" s="39"/>
      <c r="I819" s="60"/>
      <c r="J819" s="10"/>
      <c r="K819" s="34"/>
      <c r="L819" s="10"/>
      <c r="M819" s="10"/>
      <c r="N819" s="6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39"/>
      <c r="H820" s="39"/>
      <c r="I820" s="60"/>
      <c r="J820" s="10"/>
      <c r="K820" s="34"/>
      <c r="L820" s="10"/>
      <c r="M820" s="10"/>
      <c r="N820" s="6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39"/>
      <c r="H821" s="39"/>
      <c r="I821" s="60"/>
      <c r="J821" s="10"/>
      <c r="K821" s="34"/>
      <c r="L821" s="10"/>
      <c r="M821" s="10"/>
      <c r="N821" s="6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39"/>
      <c r="H822" s="39"/>
      <c r="I822" s="60"/>
      <c r="J822" s="10"/>
      <c r="K822" s="34"/>
      <c r="L822" s="10"/>
      <c r="M822" s="10"/>
      <c r="N822" s="6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39"/>
      <c r="H823" s="39"/>
      <c r="I823" s="60"/>
      <c r="J823" s="10"/>
      <c r="K823" s="34"/>
      <c r="L823" s="10"/>
      <c r="M823" s="10"/>
      <c r="N823" s="6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39"/>
      <c r="H824" s="39"/>
      <c r="I824" s="60"/>
      <c r="J824" s="10"/>
      <c r="K824" s="34"/>
      <c r="L824" s="10"/>
      <c r="M824" s="10"/>
      <c r="N824" s="6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39"/>
      <c r="H825" s="39"/>
      <c r="I825" s="60"/>
      <c r="J825" s="10"/>
      <c r="K825" s="34"/>
      <c r="L825" s="10"/>
      <c r="M825" s="10"/>
      <c r="N825" s="6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39"/>
      <c r="H826" s="39"/>
      <c r="I826" s="60"/>
      <c r="J826" s="10"/>
      <c r="K826" s="34"/>
      <c r="L826" s="10"/>
      <c r="M826" s="10"/>
      <c r="N826" s="6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39"/>
      <c r="H827" s="39"/>
      <c r="I827" s="60"/>
      <c r="J827" s="10"/>
      <c r="K827" s="34"/>
      <c r="L827" s="10"/>
      <c r="M827" s="10"/>
      <c r="N827" s="6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39"/>
      <c r="H828" s="39"/>
      <c r="I828" s="60"/>
      <c r="J828" s="10"/>
      <c r="K828" s="34"/>
      <c r="L828" s="10"/>
      <c r="M828" s="10"/>
      <c r="N828" s="6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39"/>
      <c r="H829" s="39"/>
      <c r="I829" s="60"/>
      <c r="J829" s="10"/>
      <c r="K829" s="34"/>
      <c r="L829" s="10"/>
      <c r="M829" s="10"/>
      <c r="N829" s="6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39"/>
      <c r="H830" s="39"/>
      <c r="I830" s="60"/>
      <c r="J830" s="10"/>
      <c r="K830" s="34"/>
      <c r="L830" s="10"/>
      <c r="M830" s="10"/>
      <c r="N830" s="6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39"/>
      <c r="H831" s="39"/>
      <c r="I831" s="60"/>
      <c r="J831" s="10"/>
      <c r="K831" s="34"/>
      <c r="L831" s="10"/>
      <c r="M831" s="10"/>
      <c r="N831" s="6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39"/>
      <c r="H832" s="39"/>
      <c r="I832" s="60"/>
      <c r="J832" s="10"/>
      <c r="K832" s="34"/>
      <c r="L832" s="10"/>
      <c r="M832" s="10"/>
      <c r="N832" s="6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39"/>
      <c r="H833" s="39"/>
      <c r="I833" s="60"/>
      <c r="J833" s="10"/>
      <c r="K833" s="34"/>
      <c r="L833" s="10"/>
      <c r="M833" s="10"/>
      <c r="N833" s="6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39"/>
      <c r="H834" s="39"/>
      <c r="I834" s="60"/>
      <c r="J834" s="10"/>
      <c r="K834" s="34"/>
      <c r="L834" s="10"/>
      <c r="M834" s="10"/>
      <c r="N834" s="6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39"/>
      <c r="H835" s="39"/>
      <c r="I835" s="60"/>
      <c r="J835" s="10"/>
      <c r="K835" s="34"/>
      <c r="L835" s="10"/>
      <c r="M835" s="10"/>
      <c r="N835" s="6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39"/>
      <c r="H836" s="39"/>
      <c r="I836" s="60"/>
      <c r="J836" s="10"/>
      <c r="K836" s="34"/>
      <c r="L836" s="10"/>
      <c r="M836" s="10"/>
      <c r="N836" s="6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39"/>
      <c r="H837" s="39"/>
      <c r="I837" s="60"/>
      <c r="J837" s="10"/>
      <c r="K837" s="34"/>
      <c r="L837" s="10"/>
      <c r="M837" s="10"/>
      <c r="N837" s="6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39"/>
      <c r="H838" s="39"/>
      <c r="I838" s="60"/>
      <c r="J838" s="10"/>
      <c r="K838" s="34"/>
      <c r="L838" s="10"/>
      <c r="M838" s="10"/>
      <c r="N838" s="6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39"/>
      <c r="H839" s="39"/>
      <c r="I839" s="60"/>
      <c r="J839" s="10"/>
      <c r="K839" s="34"/>
      <c r="L839" s="10"/>
      <c r="M839" s="10"/>
      <c r="N839" s="6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39"/>
      <c r="H840" s="39"/>
      <c r="I840" s="60"/>
      <c r="J840" s="10"/>
      <c r="K840" s="34"/>
      <c r="L840" s="10"/>
      <c r="M840" s="10"/>
      <c r="N840" s="6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39"/>
      <c r="H841" s="39"/>
      <c r="I841" s="60"/>
      <c r="J841" s="10"/>
      <c r="K841" s="34"/>
      <c r="L841" s="10"/>
      <c r="M841" s="10"/>
      <c r="N841" s="6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39"/>
      <c r="H842" s="39"/>
      <c r="I842" s="60"/>
      <c r="J842" s="10"/>
      <c r="K842" s="34"/>
      <c r="L842" s="10"/>
      <c r="M842" s="10"/>
      <c r="N842" s="6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39"/>
      <c r="H843" s="39"/>
      <c r="I843" s="60"/>
      <c r="J843" s="10"/>
      <c r="K843" s="34"/>
      <c r="L843" s="10"/>
      <c r="M843" s="10"/>
      <c r="N843" s="6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39"/>
      <c r="H844" s="39"/>
      <c r="I844" s="60"/>
      <c r="J844" s="10"/>
      <c r="K844" s="34"/>
      <c r="L844" s="10"/>
      <c r="M844" s="10"/>
      <c r="N844" s="6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39"/>
      <c r="H845" s="39"/>
      <c r="I845" s="60"/>
      <c r="J845" s="10"/>
      <c r="K845" s="34"/>
      <c r="L845" s="10"/>
      <c r="M845" s="10"/>
      <c r="N845" s="6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39"/>
      <c r="H846" s="39"/>
      <c r="I846" s="60"/>
      <c r="J846" s="10"/>
      <c r="K846" s="34"/>
      <c r="L846" s="10"/>
      <c r="M846" s="10"/>
      <c r="N846" s="6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39"/>
      <c r="H847" s="39"/>
      <c r="I847" s="60"/>
      <c r="J847" s="10"/>
      <c r="K847" s="34"/>
      <c r="L847" s="10"/>
      <c r="M847" s="10"/>
      <c r="N847" s="6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39"/>
      <c r="H848" s="39"/>
      <c r="I848" s="60"/>
      <c r="J848" s="10"/>
      <c r="K848" s="34"/>
      <c r="L848" s="10"/>
      <c r="M848" s="10"/>
      <c r="N848" s="6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39"/>
      <c r="H849" s="39"/>
      <c r="I849" s="60"/>
      <c r="J849" s="10"/>
      <c r="K849" s="34"/>
      <c r="L849" s="10"/>
      <c r="M849" s="10"/>
      <c r="N849" s="6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39"/>
      <c r="H850" s="39"/>
      <c r="I850" s="60"/>
      <c r="J850" s="10"/>
      <c r="K850" s="34"/>
      <c r="L850" s="10"/>
      <c r="M850" s="10"/>
      <c r="N850" s="6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39"/>
      <c r="H851" s="39"/>
      <c r="I851" s="60"/>
      <c r="J851" s="10"/>
      <c r="K851" s="34"/>
      <c r="L851" s="10"/>
      <c r="M851" s="10"/>
      <c r="N851" s="6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39"/>
      <c r="H852" s="39"/>
      <c r="I852" s="60"/>
      <c r="J852" s="10"/>
      <c r="K852" s="34"/>
      <c r="L852" s="10"/>
      <c r="M852" s="10"/>
      <c r="N852" s="6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39"/>
      <c r="H853" s="39"/>
      <c r="I853" s="60"/>
      <c r="J853" s="10"/>
      <c r="K853" s="34"/>
      <c r="L853" s="10"/>
      <c r="M853" s="10"/>
      <c r="N853" s="6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39"/>
      <c r="H854" s="39"/>
      <c r="I854" s="60"/>
      <c r="J854" s="10"/>
      <c r="K854" s="34"/>
      <c r="L854" s="10"/>
      <c r="M854" s="10"/>
      <c r="N854" s="6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39"/>
      <c r="H855" s="39"/>
      <c r="I855" s="60"/>
      <c r="J855" s="10"/>
      <c r="K855" s="34"/>
      <c r="L855" s="10"/>
      <c r="M855" s="10"/>
      <c r="N855" s="6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39"/>
      <c r="H856" s="39"/>
      <c r="I856" s="60"/>
      <c r="J856" s="10"/>
      <c r="K856" s="34"/>
      <c r="L856" s="10"/>
      <c r="M856" s="10"/>
      <c r="N856" s="6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39"/>
      <c r="H857" s="39"/>
      <c r="I857" s="60"/>
      <c r="J857" s="10"/>
      <c r="K857" s="34"/>
      <c r="L857" s="10"/>
      <c r="M857" s="10"/>
      <c r="N857" s="6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39"/>
      <c r="H858" s="39"/>
      <c r="I858" s="60"/>
      <c r="J858" s="10"/>
      <c r="K858" s="34"/>
      <c r="L858" s="10"/>
      <c r="M858" s="10"/>
      <c r="N858" s="6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39"/>
      <c r="H859" s="39"/>
      <c r="I859" s="60"/>
      <c r="J859" s="10"/>
      <c r="K859" s="34"/>
      <c r="L859" s="10"/>
      <c r="M859" s="10"/>
      <c r="N859" s="6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39"/>
      <c r="H860" s="39"/>
      <c r="I860" s="60"/>
      <c r="J860" s="10"/>
      <c r="K860" s="34"/>
      <c r="L860" s="10"/>
      <c r="M860" s="10"/>
      <c r="N860" s="6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39"/>
      <c r="H861" s="39"/>
      <c r="I861" s="60"/>
      <c r="J861" s="10"/>
      <c r="K861" s="34"/>
      <c r="L861" s="10"/>
      <c r="M861" s="10"/>
      <c r="N861" s="6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39"/>
      <c r="H862" s="39"/>
      <c r="I862" s="60"/>
      <c r="J862" s="10"/>
      <c r="K862" s="34"/>
      <c r="L862" s="10"/>
      <c r="M862" s="10"/>
      <c r="N862" s="6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39"/>
      <c r="H863" s="39"/>
      <c r="I863" s="60"/>
      <c r="J863" s="10"/>
      <c r="K863" s="34"/>
      <c r="L863" s="10"/>
      <c r="M863" s="10"/>
      <c r="N863" s="6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39"/>
      <c r="H864" s="39"/>
      <c r="I864" s="60"/>
      <c r="J864" s="10"/>
      <c r="K864" s="34"/>
      <c r="L864" s="10"/>
      <c r="M864" s="10"/>
      <c r="N864" s="6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39"/>
      <c r="H865" s="39"/>
      <c r="I865" s="60"/>
      <c r="J865" s="10"/>
      <c r="K865" s="34"/>
      <c r="L865" s="10"/>
      <c r="M865" s="10"/>
      <c r="N865" s="6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39"/>
      <c r="H866" s="39"/>
      <c r="I866" s="60"/>
      <c r="J866" s="10"/>
      <c r="K866" s="34"/>
      <c r="L866" s="10"/>
      <c r="M866" s="10"/>
      <c r="N866" s="6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39"/>
      <c r="H867" s="39"/>
      <c r="I867" s="60"/>
      <c r="J867" s="10"/>
      <c r="K867" s="34"/>
      <c r="L867" s="10"/>
      <c r="M867" s="10"/>
      <c r="N867" s="6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39"/>
      <c r="H868" s="39"/>
      <c r="I868" s="60"/>
      <c r="J868" s="10"/>
      <c r="K868" s="34"/>
      <c r="L868" s="10"/>
      <c r="M868" s="10"/>
      <c r="N868" s="6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39"/>
      <c r="H869" s="39"/>
      <c r="I869" s="60"/>
      <c r="J869" s="10"/>
      <c r="K869" s="34"/>
      <c r="L869" s="10"/>
      <c r="M869" s="10"/>
      <c r="N869" s="6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39"/>
      <c r="H870" s="39"/>
      <c r="I870" s="60"/>
      <c r="J870" s="10"/>
      <c r="K870" s="34"/>
      <c r="L870" s="10"/>
      <c r="M870" s="10"/>
      <c r="N870" s="6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39"/>
      <c r="H871" s="39"/>
      <c r="I871" s="60"/>
      <c r="J871" s="10"/>
      <c r="K871" s="34"/>
      <c r="L871" s="10"/>
      <c r="M871" s="10"/>
      <c r="N871" s="6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39"/>
      <c r="H872" s="39"/>
      <c r="I872" s="60"/>
      <c r="J872" s="10"/>
      <c r="K872" s="34"/>
      <c r="L872" s="10"/>
      <c r="M872" s="10"/>
      <c r="N872" s="6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39"/>
      <c r="H873" s="39"/>
      <c r="I873" s="60"/>
      <c r="J873" s="10"/>
      <c r="K873" s="34"/>
      <c r="L873" s="10"/>
      <c r="M873" s="10"/>
      <c r="N873" s="6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39"/>
      <c r="H874" s="39"/>
      <c r="I874" s="60"/>
      <c r="J874" s="10"/>
      <c r="K874" s="34"/>
      <c r="L874" s="10"/>
      <c r="M874" s="10"/>
      <c r="N874" s="6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39"/>
      <c r="H875" s="39"/>
      <c r="I875" s="60"/>
      <c r="J875" s="10"/>
      <c r="K875" s="34"/>
      <c r="L875" s="10"/>
      <c r="M875" s="10"/>
      <c r="N875" s="6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39"/>
      <c r="H876" s="39"/>
      <c r="I876" s="60"/>
      <c r="J876" s="10"/>
      <c r="K876" s="34"/>
      <c r="L876" s="10"/>
      <c r="M876" s="10"/>
      <c r="N876" s="6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39"/>
      <c r="H877" s="39"/>
      <c r="I877" s="60"/>
      <c r="J877" s="10"/>
      <c r="K877" s="34"/>
      <c r="L877" s="10"/>
      <c r="M877" s="10"/>
      <c r="N877" s="6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39"/>
      <c r="H878" s="39"/>
      <c r="I878" s="60"/>
      <c r="J878" s="10"/>
      <c r="K878" s="34"/>
      <c r="L878" s="10"/>
      <c r="M878" s="10"/>
      <c r="N878" s="6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39"/>
      <c r="H879" s="39"/>
      <c r="I879" s="60"/>
      <c r="J879" s="10"/>
      <c r="K879" s="34"/>
      <c r="L879" s="10"/>
      <c r="M879" s="10"/>
      <c r="N879" s="6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39"/>
      <c r="H880" s="39"/>
      <c r="I880" s="60"/>
      <c r="J880" s="10"/>
      <c r="K880" s="34"/>
      <c r="L880" s="10"/>
      <c r="M880" s="10"/>
      <c r="N880" s="6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39"/>
      <c r="H881" s="39"/>
      <c r="I881" s="60"/>
      <c r="J881" s="10"/>
      <c r="K881" s="34"/>
      <c r="L881" s="10"/>
      <c r="M881" s="10"/>
      <c r="N881" s="6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39"/>
      <c r="H882" s="39"/>
      <c r="I882" s="60"/>
      <c r="J882" s="10"/>
      <c r="K882" s="34"/>
      <c r="L882" s="10"/>
      <c r="M882" s="10"/>
      <c r="N882" s="6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39"/>
      <c r="H883" s="39"/>
      <c r="I883" s="60"/>
      <c r="J883" s="10"/>
      <c r="K883" s="34"/>
      <c r="L883" s="10"/>
      <c r="M883" s="10"/>
      <c r="N883" s="6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39"/>
      <c r="H884" s="39"/>
      <c r="I884" s="60"/>
      <c r="J884" s="10"/>
      <c r="K884" s="34"/>
      <c r="L884" s="10"/>
      <c r="M884" s="10"/>
      <c r="N884" s="6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39"/>
      <c r="H885" s="39"/>
      <c r="I885" s="60"/>
      <c r="J885" s="10"/>
      <c r="K885" s="34"/>
      <c r="L885" s="10"/>
      <c r="M885" s="10"/>
      <c r="N885" s="6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39"/>
      <c r="H886" s="39"/>
      <c r="I886" s="60"/>
      <c r="J886" s="10"/>
      <c r="K886" s="34"/>
      <c r="L886" s="10"/>
      <c r="M886" s="10"/>
      <c r="N886" s="6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39"/>
      <c r="H887" s="39"/>
      <c r="I887" s="60"/>
      <c r="J887" s="10"/>
      <c r="K887" s="34"/>
      <c r="L887" s="10"/>
      <c r="M887" s="10"/>
      <c r="N887" s="6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39"/>
      <c r="H888" s="39"/>
      <c r="I888" s="60"/>
      <c r="J888" s="10"/>
      <c r="K888" s="34"/>
      <c r="L888" s="10"/>
      <c r="M888" s="10"/>
      <c r="N888" s="6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39"/>
      <c r="H889" s="39"/>
      <c r="I889" s="60"/>
      <c r="J889" s="10"/>
      <c r="K889" s="34"/>
      <c r="L889" s="10"/>
      <c r="M889" s="10"/>
      <c r="N889" s="6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39"/>
      <c r="H890" s="39"/>
      <c r="I890" s="60"/>
      <c r="J890" s="10"/>
      <c r="K890" s="34"/>
      <c r="L890" s="10"/>
      <c r="M890" s="10"/>
      <c r="N890" s="6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39"/>
      <c r="H891" s="39"/>
      <c r="I891" s="60"/>
      <c r="J891" s="10"/>
      <c r="K891" s="34"/>
      <c r="L891" s="10"/>
      <c r="M891" s="10"/>
      <c r="N891" s="6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39"/>
      <c r="H892" s="39"/>
      <c r="I892" s="60"/>
      <c r="J892" s="10"/>
      <c r="K892" s="34"/>
      <c r="L892" s="10"/>
      <c r="M892" s="10"/>
      <c r="N892" s="6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39"/>
      <c r="H893" s="39"/>
      <c r="I893" s="60"/>
      <c r="J893" s="10"/>
      <c r="K893" s="34"/>
      <c r="L893" s="10"/>
      <c r="M893" s="10"/>
      <c r="N893" s="6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39"/>
      <c r="H894" s="39"/>
      <c r="I894" s="60"/>
      <c r="J894" s="10"/>
      <c r="K894" s="34"/>
      <c r="L894" s="10"/>
      <c r="M894" s="10"/>
      <c r="N894" s="6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39"/>
      <c r="H895" s="39"/>
      <c r="I895" s="60"/>
      <c r="J895" s="10"/>
      <c r="K895" s="34"/>
      <c r="L895" s="10"/>
      <c r="M895" s="10"/>
      <c r="N895" s="6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39"/>
      <c r="H896" s="39"/>
      <c r="I896" s="60"/>
      <c r="J896" s="10"/>
      <c r="K896" s="34"/>
      <c r="L896" s="10"/>
      <c r="M896" s="10"/>
      <c r="N896" s="6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39"/>
      <c r="H897" s="39"/>
      <c r="I897" s="60"/>
      <c r="J897" s="10"/>
      <c r="K897" s="34"/>
      <c r="L897" s="10"/>
      <c r="M897" s="10"/>
      <c r="N897" s="6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39"/>
      <c r="H898" s="39"/>
      <c r="I898" s="60"/>
      <c r="J898" s="10"/>
      <c r="K898" s="34"/>
      <c r="L898" s="10"/>
      <c r="M898" s="10"/>
      <c r="N898" s="6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39"/>
      <c r="H899" s="39"/>
      <c r="I899" s="60"/>
      <c r="J899" s="10"/>
      <c r="K899" s="34"/>
      <c r="L899" s="10"/>
      <c r="M899" s="10"/>
      <c r="N899" s="6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39"/>
      <c r="H900" s="39"/>
      <c r="I900" s="60"/>
      <c r="J900" s="10"/>
      <c r="K900" s="34"/>
      <c r="L900" s="10"/>
      <c r="M900" s="10"/>
      <c r="N900" s="6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39"/>
      <c r="H901" s="39"/>
      <c r="I901" s="60"/>
      <c r="J901" s="10"/>
      <c r="K901" s="34"/>
      <c r="L901" s="10"/>
      <c r="M901" s="10"/>
      <c r="N901" s="6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39"/>
      <c r="H902" s="39"/>
      <c r="I902" s="60"/>
      <c r="J902" s="10"/>
      <c r="K902" s="34"/>
      <c r="L902" s="10"/>
      <c r="M902" s="10"/>
      <c r="N902" s="6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39"/>
      <c r="H903" s="39"/>
      <c r="I903" s="60"/>
      <c r="J903" s="10"/>
      <c r="K903" s="34"/>
      <c r="L903" s="10"/>
      <c r="M903" s="10"/>
      <c r="N903" s="6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39"/>
      <c r="H904" s="39"/>
      <c r="I904" s="60"/>
      <c r="J904" s="10"/>
      <c r="K904" s="34"/>
      <c r="L904" s="10"/>
      <c r="M904" s="10"/>
      <c r="N904" s="6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39"/>
      <c r="H905" s="39"/>
      <c r="I905" s="60"/>
      <c r="J905" s="10"/>
      <c r="K905" s="34"/>
      <c r="L905" s="10"/>
      <c r="M905" s="10"/>
      <c r="N905" s="6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39"/>
      <c r="H906" s="39"/>
      <c r="I906" s="60"/>
      <c r="J906" s="10"/>
      <c r="K906" s="34"/>
      <c r="L906" s="10"/>
      <c r="M906" s="10"/>
      <c r="N906" s="6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39"/>
      <c r="H907" s="39"/>
      <c r="I907" s="60"/>
      <c r="J907" s="10"/>
      <c r="K907" s="34"/>
      <c r="L907" s="10"/>
      <c r="M907" s="10"/>
      <c r="N907" s="6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39"/>
      <c r="H908" s="39"/>
      <c r="I908" s="60"/>
      <c r="J908" s="10"/>
      <c r="K908" s="34"/>
      <c r="L908" s="10"/>
      <c r="M908" s="10"/>
      <c r="N908" s="6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39"/>
      <c r="H909" s="39"/>
      <c r="I909" s="60"/>
      <c r="J909" s="10"/>
      <c r="K909" s="34"/>
      <c r="L909" s="10"/>
      <c r="M909" s="10"/>
      <c r="N909" s="6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39"/>
      <c r="H910" s="39"/>
      <c r="I910" s="60"/>
      <c r="J910" s="10"/>
      <c r="K910" s="34"/>
      <c r="L910" s="10"/>
      <c r="M910" s="10"/>
      <c r="N910" s="6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39"/>
      <c r="H911" s="39"/>
      <c r="I911" s="60"/>
      <c r="J911" s="10"/>
      <c r="K911" s="34"/>
      <c r="L911" s="10"/>
      <c r="M911" s="10"/>
      <c r="N911" s="6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39"/>
      <c r="H912" s="39"/>
      <c r="I912" s="60"/>
      <c r="J912" s="10"/>
      <c r="K912" s="34"/>
      <c r="L912" s="10"/>
      <c r="M912" s="10"/>
      <c r="N912" s="6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39"/>
      <c r="H913" s="39"/>
      <c r="I913" s="60"/>
      <c r="J913" s="10"/>
      <c r="K913" s="34"/>
      <c r="L913" s="10"/>
      <c r="M913" s="10"/>
      <c r="N913" s="6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39"/>
      <c r="H914" s="39"/>
      <c r="I914" s="60"/>
      <c r="J914" s="10"/>
      <c r="K914" s="34"/>
      <c r="L914" s="10"/>
      <c r="M914" s="10"/>
      <c r="N914" s="6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39"/>
      <c r="H915" s="39"/>
      <c r="I915" s="60"/>
      <c r="J915" s="10"/>
      <c r="K915" s="34"/>
      <c r="L915" s="10"/>
      <c r="M915" s="10"/>
      <c r="N915" s="6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39"/>
      <c r="H916" s="39"/>
      <c r="I916" s="60"/>
      <c r="J916" s="10"/>
      <c r="K916" s="34"/>
      <c r="L916" s="10"/>
      <c r="M916" s="10"/>
      <c r="N916" s="6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39"/>
      <c r="H917" s="39"/>
      <c r="I917" s="60"/>
      <c r="J917" s="10"/>
      <c r="K917" s="34"/>
      <c r="L917" s="10"/>
      <c r="M917" s="10"/>
      <c r="N917" s="6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39"/>
      <c r="H918" s="39"/>
      <c r="I918" s="60"/>
      <c r="J918" s="10"/>
      <c r="K918" s="34"/>
      <c r="L918" s="10"/>
      <c r="M918" s="10"/>
      <c r="N918" s="6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39"/>
      <c r="H919" s="39"/>
      <c r="I919" s="60"/>
      <c r="J919" s="10"/>
      <c r="K919" s="34"/>
      <c r="L919" s="10"/>
      <c r="M919" s="10"/>
      <c r="N919" s="6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39"/>
      <c r="H920" s="39"/>
      <c r="I920" s="60"/>
      <c r="J920" s="10"/>
      <c r="K920" s="34"/>
      <c r="L920" s="10"/>
      <c r="M920" s="10"/>
      <c r="N920" s="6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39"/>
      <c r="H921" s="39"/>
      <c r="I921" s="60"/>
      <c r="J921" s="10"/>
      <c r="K921" s="34"/>
      <c r="L921" s="10"/>
      <c r="M921" s="10"/>
      <c r="N921" s="6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39"/>
      <c r="H922" s="39"/>
      <c r="I922" s="60"/>
      <c r="J922" s="10"/>
      <c r="K922" s="34"/>
      <c r="L922" s="10"/>
      <c r="M922" s="10"/>
      <c r="N922" s="6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39"/>
      <c r="H923" s="39"/>
      <c r="I923" s="60"/>
      <c r="J923" s="10"/>
      <c r="K923" s="34"/>
      <c r="L923" s="10"/>
      <c r="M923" s="10"/>
      <c r="N923" s="6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39"/>
      <c r="H924" s="39"/>
      <c r="I924" s="60"/>
      <c r="J924" s="10"/>
      <c r="K924" s="34"/>
      <c r="L924" s="10"/>
      <c r="M924" s="10"/>
      <c r="N924" s="6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39"/>
      <c r="H925" s="39"/>
      <c r="I925" s="60"/>
      <c r="J925" s="10"/>
      <c r="K925" s="34"/>
      <c r="L925" s="10"/>
      <c r="M925" s="10"/>
      <c r="N925" s="6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39"/>
      <c r="H926" s="39"/>
      <c r="I926" s="60"/>
      <c r="J926" s="10"/>
      <c r="K926" s="34"/>
      <c r="L926" s="10"/>
      <c r="M926" s="10"/>
      <c r="N926" s="6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39"/>
      <c r="H927" s="39"/>
      <c r="I927" s="60"/>
      <c r="J927" s="10"/>
      <c r="K927" s="34"/>
      <c r="L927" s="10"/>
      <c r="M927" s="10"/>
      <c r="N927" s="6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39"/>
      <c r="H928" s="39"/>
      <c r="I928" s="60"/>
      <c r="J928" s="10"/>
      <c r="K928" s="34"/>
      <c r="L928" s="10"/>
      <c r="M928" s="10"/>
      <c r="N928" s="6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39"/>
      <c r="H929" s="39"/>
      <c r="I929" s="60"/>
      <c r="J929" s="10"/>
      <c r="K929" s="34"/>
      <c r="L929" s="10"/>
      <c r="M929" s="10"/>
      <c r="N929" s="6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39"/>
      <c r="H930" s="39"/>
      <c r="I930" s="60"/>
      <c r="J930" s="10"/>
      <c r="K930" s="34"/>
      <c r="L930" s="10"/>
      <c r="M930" s="10"/>
      <c r="N930" s="6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39"/>
      <c r="H931" s="39"/>
      <c r="I931" s="60"/>
      <c r="J931" s="10"/>
      <c r="K931" s="34"/>
      <c r="L931" s="10"/>
      <c r="M931" s="10"/>
      <c r="N931" s="6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39"/>
      <c r="H932" s="39"/>
      <c r="I932" s="60"/>
      <c r="J932" s="10"/>
      <c r="K932" s="34"/>
      <c r="L932" s="10"/>
      <c r="M932" s="10"/>
      <c r="N932" s="6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39"/>
      <c r="H933" s="39"/>
      <c r="I933" s="60"/>
      <c r="J933" s="10"/>
      <c r="K933" s="34"/>
      <c r="L933" s="10"/>
      <c r="M933" s="10"/>
      <c r="N933" s="6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39"/>
      <c r="H934" s="39"/>
      <c r="I934" s="60"/>
      <c r="J934" s="10"/>
      <c r="K934" s="34"/>
      <c r="L934" s="10"/>
      <c r="M934" s="10"/>
      <c r="N934" s="6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39"/>
      <c r="H935" s="39"/>
      <c r="I935" s="60"/>
      <c r="J935" s="10"/>
      <c r="K935" s="34"/>
      <c r="L935" s="10"/>
      <c r="M935" s="10"/>
      <c r="N935" s="6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39"/>
      <c r="H936" s="39"/>
      <c r="I936" s="60"/>
      <c r="J936" s="10"/>
      <c r="K936" s="34"/>
      <c r="L936" s="10"/>
      <c r="M936" s="10"/>
      <c r="N936" s="6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39"/>
      <c r="H937" s="39"/>
      <c r="I937" s="60"/>
      <c r="J937" s="10"/>
      <c r="K937" s="34"/>
      <c r="L937" s="10"/>
      <c r="M937" s="10"/>
      <c r="N937" s="6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39"/>
      <c r="H938" s="39"/>
      <c r="I938" s="60"/>
      <c r="J938" s="10"/>
      <c r="K938" s="34"/>
      <c r="L938" s="10"/>
      <c r="M938" s="10"/>
      <c r="N938" s="6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39"/>
      <c r="H939" s="39"/>
      <c r="I939" s="60"/>
      <c r="J939" s="10"/>
      <c r="K939" s="34"/>
      <c r="L939" s="10"/>
      <c r="M939" s="10"/>
      <c r="N939" s="6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39"/>
      <c r="H940" s="39"/>
      <c r="I940" s="60"/>
      <c r="J940" s="10"/>
      <c r="K940" s="34"/>
      <c r="L940" s="10"/>
      <c r="M940" s="10"/>
      <c r="N940" s="6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39"/>
      <c r="H941" s="39"/>
      <c r="I941" s="60"/>
      <c r="J941" s="10"/>
      <c r="K941" s="34"/>
      <c r="L941" s="10"/>
      <c r="M941" s="10"/>
      <c r="N941" s="6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39"/>
      <c r="H942" s="39"/>
      <c r="I942" s="60"/>
      <c r="J942" s="10"/>
      <c r="K942" s="34"/>
      <c r="L942" s="10"/>
      <c r="M942" s="10"/>
      <c r="N942" s="6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39"/>
      <c r="H943" s="39"/>
      <c r="I943" s="60"/>
      <c r="J943" s="10"/>
      <c r="K943" s="34"/>
      <c r="L943" s="10"/>
      <c r="M943" s="10"/>
      <c r="N943" s="6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39"/>
      <c r="H944" s="39"/>
      <c r="I944" s="60"/>
      <c r="J944" s="10"/>
      <c r="K944" s="34"/>
      <c r="L944" s="10"/>
      <c r="M944" s="10"/>
      <c r="N944" s="6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39"/>
      <c r="H945" s="39"/>
      <c r="I945" s="60"/>
      <c r="J945" s="10"/>
      <c r="K945" s="34"/>
      <c r="L945" s="10"/>
      <c r="M945" s="10"/>
      <c r="N945" s="6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39"/>
      <c r="H946" s="39"/>
      <c r="I946" s="60"/>
      <c r="J946" s="10"/>
      <c r="K946" s="34"/>
      <c r="L946" s="10"/>
      <c r="M946" s="10"/>
      <c r="N946" s="6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39"/>
      <c r="H947" s="39"/>
      <c r="I947" s="60"/>
      <c r="J947" s="10"/>
      <c r="K947" s="34"/>
      <c r="L947" s="10"/>
      <c r="M947" s="10"/>
      <c r="N947" s="6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39"/>
      <c r="H948" s="39"/>
      <c r="I948" s="60"/>
      <c r="J948" s="10"/>
      <c r="K948" s="34"/>
      <c r="L948" s="10"/>
      <c r="M948" s="10"/>
      <c r="N948" s="6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39"/>
      <c r="H949" s="39"/>
      <c r="I949" s="60"/>
      <c r="J949" s="10"/>
      <c r="K949" s="34"/>
      <c r="L949" s="10"/>
      <c r="M949" s="10"/>
      <c r="N949" s="6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39"/>
      <c r="H950" s="39"/>
      <c r="I950" s="60"/>
      <c r="J950" s="10"/>
      <c r="K950" s="34"/>
      <c r="L950" s="10"/>
      <c r="M950" s="10"/>
      <c r="N950" s="6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39"/>
      <c r="H951" s="39"/>
      <c r="I951" s="60"/>
      <c r="J951" s="10"/>
      <c r="K951" s="34"/>
      <c r="L951" s="10"/>
      <c r="M951" s="10"/>
      <c r="N951" s="6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39"/>
      <c r="H952" s="39"/>
      <c r="I952" s="60"/>
      <c r="J952" s="10"/>
      <c r="K952" s="34"/>
      <c r="L952" s="10"/>
      <c r="M952" s="10"/>
      <c r="N952" s="6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39"/>
      <c r="H953" s="39"/>
      <c r="I953" s="60"/>
      <c r="J953" s="10"/>
      <c r="K953" s="34"/>
      <c r="L953" s="10"/>
      <c r="M953" s="10"/>
      <c r="N953" s="6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39"/>
      <c r="H954" s="39"/>
      <c r="I954" s="60"/>
      <c r="J954" s="10"/>
      <c r="K954" s="34"/>
      <c r="L954" s="10"/>
      <c r="M954" s="10"/>
      <c r="N954" s="6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39"/>
      <c r="H955" s="39"/>
      <c r="I955" s="60"/>
      <c r="J955" s="10"/>
      <c r="K955" s="34"/>
      <c r="L955" s="10"/>
      <c r="M955" s="10"/>
      <c r="N955" s="6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39"/>
      <c r="H956" s="39"/>
      <c r="I956" s="60"/>
      <c r="J956" s="10"/>
      <c r="K956" s="34"/>
      <c r="L956" s="10"/>
      <c r="M956" s="10"/>
      <c r="N956" s="6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39"/>
      <c r="H957" s="39"/>
      <c r="I957" s="60"/>
      <c r="J957" s="10"/>
      <c r="K957" s="34"/>
      <c r="L957" s="10"/>
      <c r="M957" s="10"/>
      <c r="N957" s="6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39"/>
      <c r="H958" s="39"/>
      <c r="I958" s="60"/>
      <c r="J958" s="10"/>
      <c r="K958" s="34"/>
      <c r="L958" s="10"/>
      <c r="M958" s="10"/>
      <c r="N958" s="6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39"/>
      <c r="H959" s="39"/>
      <c r="I959" s="60"/>
      <c r="J959" s="10"/>
      <c r="K959" s="34"/>
      <c r="L959" s="10"/>
      <c r="M959" s="10"/>
      <c r="N959" s="6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39"/>
      <c r="H960" s="39"/>
      <c r="I960" s="60"/>
      <c r="J960" s="10"/>
      <c r="K960" s="34"/>
      <c r="L960" s="10"/>
      <c r="M960" s="10"/>
      <c r="N960" s="6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39"/>
      <c r="H961" s="39"/>
      <c r="I961" s="60"/>
      <c r="J961" s="10"/>
      <c r="K961" s="34"/>
      <c r="L961" s="10"/>
      <c r="M961" s="10"/>
      <c r="N961" s="6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39"/>
      <c r="H962" s="39"/>
      <c r="I962" s="60"/>
      <c r="J962" s="10"/>
      <c r="K962" s="34"/>
      <c r="L962" s="10"/>
      <c r="M962" s="10"/>
      <c r="N962" s="6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39"/>
      <c r="H963" s="39"/>
      <c r="I963" s="60"/>
      <c r="J963" s="10"/>
      <c r="K963" s="34"/>
      <c r="L963" s="10"/>
      <c r="M963" s="10"/>
      <c r="N963" s="6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39"/>
      <c r="H964" s="39"/>
      <c r="I964" s="60"/>
      <c r="J964" s="10"/>
      <c r="K964" s="34"/>
      <c r="L964" s="10"/>
      <c r="M964" s="10"/>
      <c r="N964" s="6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39"/>
      <c r="H965" s="39"/>
      <c r="I965" s="60"/>
      <c r="J965" s="10"/>
      <c r="K965" s="34"/>
      <c r="L965" s="10"/>
      <c r="M965" s="10"/>
      <c r="N965" s="6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39"/>
      <c r="H966" s="39"/>
      <c r="I966" s="60"/>
      <c r="J966" s="10"/>
      <c r="K966" s="34"/>
      <c r="L966" s="10"/>
      <c r="M966" s="10"/>
      <c r="N966" s="6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39"/>
      <c r="H967" s="39"/>
      <c r="I967" s="60"/>
      <c r="J967" s="10"/>
      <c r="K967" s="34"/>
      <c r="L967" s="10"/>
      <c r="M967" s="10"/>
      <c r="N967" s="6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39"/>
      <c r="H968" s="39"/>
      <c r="I968" s="60"/>
      <c r="J968" s="10"/>
      <c r="K968" s="34"/>
      <c r="L968" s="10"/>
      <c r="M968" s="10"/>
      <c r="N968" s="6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39"/>
      <c r="H969" s="39"/>
      <c r="I969" s="60"/>
      <c r="J969" s="10"/>
      <c r="K969" s="34"/>
      <c r="L969" s="10"/>
      <c r="M969" s="10"/>
      <c r="N969" s="6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39"/>
      <c r="H970" s="39"/>
      <c r="I970" s="60"/>
      <c r="J970" s="10"/>
      <c r="K970" s="34"/>
      <c r="L970" s="10"/>
      <c r="M970" s="10"/>
      <c r="N970" s="6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39"/>
      <c r="H971" s="39"/>
      <c r="I971" s="60"/>
      <c r="J971" s="10"/>
      <c r="K971" s="34"/>
      <c r="L971" s="10"/>
      <c r="M971" s="10"/>
      <c r="N971" s="6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39"/>
      <c r="H972" s="39"/>
      <c r="I972" s="60"/>
      <c r="J972" s="10"/>
      <c r="K972" s="34"/>
      <c r="L972" s="10"/>
      <c r="M972" s="10"/>
      <c r="N972" s="6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39"/>
      <c r="H973" s="39"/>
      <c r="I973" s="60"/>
      <c r="J973" s="10"/>
      <c r="K973" s="34"/>
      <c r="L973" s="10"/>
      <c r="M973" s="10"/>
      <c r="N973" s="6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39"/>
      <c r="H974" s="39"/>
      <c r="I974" s="60"/>
      <c r="J974" s="10"/>
      <c r="K974" s="34"/>
      <c r="L974" s="10"/>
      <c r="M974" s="10"/>
      <c r="N974" s="6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39"/>
      <c r="H975" s="39"/>
      <c r="I975" s="60"/>
      <c r="J975" s="10"/>
      <c r="K975" s="34"/>
      <c r="L975" s="10"/>
      <c r="M975" s="10"/>
      <c r="N975" s="6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39"/>
      <c r="H976" s="39"/>
      <c r="I976" s="60"/>
      <c r="J976" s="10"/>
      <c r="K976" s="34"/>
      <c r="L976" s="10"/>
      <c r="M976" s="10"/>
      <c r="N976" s="6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39"/>
      <c r="H977" s="39"/>
      <c r="I977" s="60"/>
      <c r="J977" s="10"/>
      <c r="K977" s="34"/>
      <c r="L977" s="10"/>
      <c r="M977" s="10"/>
      <c r="N977" s="6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39"/>
      <c r="H978" s="39"/>
      <c r="I978" s="60"/>
      <c r="J978" s="10"/>
      <c r="K978" s="34"/>
      <c r="L978" s="10"/>
      <c r="M978" s="10"/>
      <c r="N978" s="6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39"/>
      <c r="H979" s="39"/>
      <c r="I979" s="60"/>
      <c r="J979" s="10"/>
      <c r="K979" s="34"/>
      <c r="L979" s="10"/>
      <c r="M979" s="10"/>
      <c r="N979" s="6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39"/>
      <c r="H980" s="39"/>
      <c r="I980" s="60"/>
      <c r="J980" s="10"/>
      <c r="K980" s="34"/>
      <c r="L980" s="10"/>
      <c r="M980" s="10"/>
      <c r="N980" s="6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39"/>
      <c r="H981" s="39"/>
      <c r="I981" s="60"/>
      <c r="J981" s="10"/>
      <c r="K981" s="34"/>
      <c r="L981" s="10"/>
      <c r="M981" s="10"/>
      <c r="N981" s="6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39"/>
      <c r="H982" s="39"/>
      <c r="I982" s="60"/>
      <c r="J982" s="10"/>
      <c r="K982" s="34"/>
      <c r="L982" s="10"/>
      <c r="M982" s="10"/>
      <c r="N982" s="6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39"/>
      <c r="H983" s="39"/>
      <c r="I983" s="60"/>
      <c r="J983" s="10"/>
      <c r="K983" s="34"/>
      <c r="L983" s="10"/>
      <c r="M983" s="10"/>
      <c r="N983" s="6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39"/>
      <c r="H984" s="39"/>
      <c r="I984" s="60"/>
      <c r="J984" s="10"/>
      <c r="K984" s="34"/>
      <c r="L984" s="10"/>
      <c r="M984" s="10"/>
      <c r="N984" s="6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39"/>
      <c r="H985" s="39"/>
      <c r="I985" s="60"/>
      <c r="J985" s="10"/>
      <c r="K985" s="34"/>
      <c r="L985" s="10"/>
      <c r="M985" s="10"/>
      <c r="N985" s="6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39"/>
      <c r="H986" s="39"/>
      <c r="I986" s="60"/>
      <c r="J986" s="10"/>
      <c r="K986" s="34"/>
      <c r="L986" s="10"/>
      <c r="M986" s="10"/>
      <c r="N986" s="6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39"/>
      <c r="H987" s="39"/>
      <c r="I987" s="60"/>
      <c r="J987" s="10"/>
      <c r="K987" s="34"/>
      <c r="L987" s="10"/>
      <c r="M987" s="10"/>
      <c r="N987" s="6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39"/>
      <c r="H988" s="39"/>
      <c r="I988" s="60"/>
      <c r="J988" s="10"/>
      <c r="K988" s="34"/>
      <c r="L988" s="10"/>
      <c r="M988" s="10"/>
      <c r="N988" s="6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39"/>
      <c r="H989" s="39"/>
      <c r="I989" s="60"/>
      <c r="J989" s="10"/>
      <c r="K989" s="34"/>
      <c r="L989" s="10"/>
      <c r="M989" s="10"/>
      <c r="N989" s="6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39"/>
      <c r="H990" s="39"/>
      <c r="I990" s="60"/>
      <c r="J990" s="10"/>
      <c r="K990" s="34"/>
      <c r="L990" s="10"/>
      <c r="M990" s="10"/>
      <c r="N990" s="6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39"/>
      <c r="H991" s="39"/>
      <c r="I991" s="60"/>
      <c r="J991" s="10"/>
      <c r="K991" s="34"/>
      <c r="L991" s="10"/>
      <c r="M991" s="10"/>
      <c r="N991" s="6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39"/>
      <c r="H992" s="39"/>
      <c r="I992" s="60"/>
      <c r="J992" s="10"/>
      <c r="K992" s="34"/>
      <c r="L992" s="10"/>
      <c r="M992" s="10"/>
      <c r="N992" s="6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39"/>
      <c r="H993" s="39"/>
      <c r="I993" s="60"/>
      <c r="J993" s="10"/>
      <c r="K993" s="34"/>
      <c r="L993" s="10"/>
      <c r="M993" s="10"/>
      <c r="N993" s="6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39"/>
      <c r="H994" s="39"/>
      <c r="I994" s="60"/>
      <c r="J994" s="10"/>
      <c r="K994" s="34"/>
      <c r="L994" s="10"/>
      <c r="M994" s="10"/>
      <c r="N994" s="6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39"/>
      <c r="H995" s="39"/>
      <c r="I995" s="60"/>
      <c r="J995" s="10"/>
      <c r="K995" s="34"/>
      <c r="L995" s="10"/>
      <c r="M995" s="10"/>
      <c r="N995" s="6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39"/>
      <c r="H996" s="39"/>
      <c r="I996" s="60"/>
      <c r="J996" s="10"/>
      <c r="K996" s="34"/>
      <c r="L996" s="10"/>
      <c r="M996" s="10"/>
      <c r="N996" s="6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39"/>
      <c r="H997" s="39"/>
      <c r="I997" s="60"/>
      <c r="J997" s="10"/>
      <c r="K997" s="34"/>
      <c r="L997" s="10"/>
      <c r="M997" s="10"/>
      <c r="N997" s="6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39"/>
      <c r="H998" s="39"/>
      <c r="I998" s="60"/>
      <c r="J998" s="10"/>
      <c r="K998" s="34"/>
      <c r="L998" s="10"/>
      <c r="M998" s="10"/>
      <c r="N998" s="6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39"/>
      <c r="H999" s="39"/>
      <c r="I999" s="60"/>
      <c r="J999" s="10"/>
      <c r="K999" s="34"/>
      <c r="L999" s="10"/>
      <c r="M999" s="10"/>
      <c r="N999" s="6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39"/>
      <c r="H1000" s="39"/>
      <c r="I1000" s="60"/>
      <c r="J1000" s="10"/>
      <c r="K1000" s="34"/>
      <c r="L1000" s="10"/>
      <c r="M1000" s="10"/>
      <c r="N1000" s="6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39"/>
      <c r="H1001" s="39"/>
      <c r="I1001" s="60"/>
      <c r="J1001" s="10"/>
      <c r="K1001" s="34"/>
      <c r="L1001" s="10"/>
      <c r="M1001" s="10"/>
      <c r="N1001" s="6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39"/>
      <c r="H1002" s="39"/>
      <c r="I1002" s="60"/>
      <c r="J1002" s="10"/>
      <c r="K1002" s="34"/>
      <c r="L1002" s="10"/>
      <c r="M1002" s="10"/>
      <c r="N1002" s="6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39"/>
      <c r="H1003" s="39"/>
      <c r="I1003" s="60"/>
      <c r="J1003" s="10"/>
      <c r="K1003" s="34"/>
      <c r="L1003" s="10"/>
      <c r="M1003" s="10"/>
      <c r="N1003" s="6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"/>
      <c r="G1004" s="39"/>
      <c r="H1004" s="39"/>
      <c r="I1004" s="60"/>
      <c r="J1004" s="10"/>
      <c r="K1004" s="34"/>
      <c r="L1004" s="10"/>
      <c r="M1004" s="10"/>
      <c r="N1004" s="6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"/>
      <c r="G1005" s="39"/>
      <c r="H1005" s="39"/>
      <c r="I1005" s="60"/>
      <c r="J1005" s="10"/>
      <c r="K1005" s="34"/>
      <c r="L1005" s="10"/>
      <c r="M1005" s="10"/>
      <c r="N1005" s="6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"/>
      <c r="G1006" s="39"/>
      <c r="H1006" s="39"/>
      <c r="I1006" s="60"/>
      <c r="J1006" s="10"/>
      <c r="K1006" s="34"/>
      <c r="L1006" s="10"/>
      <c r="M1006" s="10"/>
      <c r="N1006" s="6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"/>
      <c r="G1007" s="39"/>
      <c r="H1007" s="39"/>
      <c r="I1007" s="60"/>
      <c r="J1007" s="10"/>
      <c r="K1007" s="34"/>
      <c r="L1007" s="10"/>
      <c r="M1007" s="10"/>
      <c r="N1007" s="6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"/>
      <c r="G1008" s="39"/>
      <c r="H1008" s="39"/>
      <c r="I1008" s="60"/>
      <c r="J1008" s="10"/>
      <c r="K1008" s="34"/>
      <c r="L1008" s="10"/>
      <c r="M1008" s="10"/>
      <c r="N1008" s="6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"/>
      <c r="G1009" s="39"/>
      <c r="H1009" s="39"/>
      <c r="I1009" s="60"/>
      <c r="J1009" s="10"/>
      <c r="K1009" s="34"/>
      <c r="L1009" s="10"/>
      <c r="M1009" s="10"/>
      <c r="N1009" s="6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"/>
      <c r="G1010" s="39"/>
      <c r="H1010" s="39"/>
      <c r="I1010" s="60"/>
      <c r="J1010" s="10"/>
      <c r="K1010" s="34"/>
      <c r="L1010" s="10"/>
      <c r="M1010" s="10"/>
      <c r="N1010" s="6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"/>
      <c r="G1011" s="39"/>
      <c r="H1011" s="39"/>
      <c r="I1011" s="60"/>
      <c r="J1011" s="10"/>
      <c r="K1011" s="34"/>
      <c r="L1011" s="10"/>
      <c r="M1011" s="10"/>
      <c r="N1011" s="6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"/>
      <c r="G1012" s="39"/>
      <c r="H1012" s="39"/>
      <c r="I1012" s="60"/>
      <c r="J1012" s="10"/>
      <c r="K1012" s="34"/>
      <c r="L1012" s="10"/>
      <c r="M1012" s="10"/>
      <c r="N1012" s="6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"/>
      <c r="G1013" s="39"/>
      <c r="H1013" s="39"/>
      <c r="I1013" s="60"/>
      <c r="J1013" s="10"/>
      <c r="K1013" s="34"/>
      <c r="L1013" s="10"/>
      <c r="M1013" s="10"/>
      <c r="N1013" s="6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"/>
      <c r="G1014" s="39"/>
      <c r="H1014" s="39"/>
      <c r="I1014" s="60"/>
      <c r="J1014" s="10"/>
      <c r="K1014" s="34"/>
      <c r="L1014" s="10"/>
      <c r="M1014" s="10"/>
      <c r="N1014" s="6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"/>
      <c r="G1015" s="39"/>
      <c r="H1015" s="39"/>
      <c r="I1015" s="60"/>
      <c r="J1015" s="10"/>
      <c r="K1015" s="34"/>
      <c r="L1015" s="10"/>
      <c r="M1015" s="10"/>
      <c r="N1015" s="6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"/>
      <c r="G1016" s="39"/>
      <c r="H1016" s="39"/>
      <c r="I1016" s="60"/>
      <c r="J1016" s="10"/>
      <c r="K1016" s="34"/>
      <c r="L1016" s="10"/>
      <c r="M1016" s="10"/>
      <c r="N1016" s="6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6.88"/>
    <col customWidth="1" min="3" max="3" width="6.5"/>
    <col customWidth="1" min="4" max="4" width="8.88"/>
  </cols>
  <sheetData>
    <row r="1">
      <c r="A1" s="1" t="s">
        <v>0</v>
      </c>
      <c r="B1" s="1" t="s">
        <v>2</v>
      </c>
      <c r="C1" s="1" t="s">
        <v>3</v>
      </c>
      <c r="D1" s="4" t="s">
        <v>7</v>
      </c>
    </row>
    <row r="2">
      <c r="A2" s="11">
        <v>44462.0</v>
      </c>
      <c r="B2" s="1" t="s">
        <v>23</v>
      </c>
      <c r="C2" s="1" t="s">
        <v>24</v>
      </c>
      <c r="D2" s="4">
        <v>6.0</v>
      </c>
    </row>
    <row r="3">
      <c r="A3" s="11">
        <v>44462.0</v>
      </c>
      <c r="B3" s="1" t="s">
        <v>25</v>
      </c>
      <c r="C3" s="1" t="s">
        <v>24</v>
      </c>
      <c r="D3" s="4">
        <v>5.124</v>
      </c>
    </row>
    <row r="4">
      <c r="A4" s="11">
        <v>44463.0</v>
      </c>
      <c r="B4" s="1" t="s">
        <v>26</v>
      </c>
      <c r="C4" s="1" t="s">
        <v>24</v>
      </c>
      <c r="D4" s="4">
        <v>4.033</v>
      </c>
    </row>
    <row r="5">
      <c r="A5" s="11">
        <v>44464.0</v>
      </c>
      <c r="B5" s="1" t="s">
        <v>28</v>
      </c>
      <c r="C5" s="1" t="s">
        <v>30</v>
      </c>
      <c r="D5" s="4">
        <v>3.799</v>
      </c>
    </row>
    <row r="6">
      <c r="A6" s="11">
        <v>44464.0</v>
      </c>
      <c r="B6" s="1" t="s">
        <v>32</v>
      </c>
      <c r="C6" s="1" t="s">
        <v>30</v>
      </c>
      <c r="D6" s="4">
        <v>3.799</v>
      </c>
    </row>
    <row r="7">
      <c r="A7" s="11">
        <v>44464.0</v>
      </c>
      <c r="B7" s="1" t="s">
        <v>33</v>
      </c>
      <c r="C7" s="1" t="s">
        <v>34</v>
      </c>
      <c r="D7" s="4">
        <v>6.27</v>
      </c>
    </row>
    <row r="8">
      <c r="A8" s="11">
        <v>44465.0</v>
      </c>
      <c r="B8" s="1" t="s">
        <v>35</v>
      </c>
      <c r="C8" s="1" t="s">
        <v>34</v>
      </c>
      <c r="D8" s="4">
        <v>2.737</v>
      </c>
    </row>
    <row r="9">
      <c r="A9" s="11">
        <v>44465.0</v>
      </c>
      <c r="B9" s="1" t="s">
        <v>36</v>
      </c>
      <c r="C9" s="1" t="s">
        <v>34</v>
      </c>
      <c r="D9" s="4">
        <v>5.766</v>
      </c>
    </row>
    <row r="10">
      <c r="A10" s="11">
        <v>44466.0</v>
      </c>
      <c r="B10" s="1" t="s">
        <v>38</v>
      </c>
      <c r="C10" s="1" t="s">
        <v>39</v>
      </c>
      <c r="D10" s="4">
        <v>5.213</v>
      </c>
    </row>
    <row r="11">
      <c r="A11" s="11">
        <v>44466.0</v>
      </c>
      <c r="B11" s="1" t="s">
        <v>40</v>
      </c>
      <c r="C11" s="1" t="s">
        <v>39</v>
      </c>
      <c r="D11" s="4">
        <v>4.839</v>
      </c>
    </row>
    <row r="12">
      <c r="A12" s="11">
        <v>44467.0</v>
      </c>
      <c r="B12" s="1" t="s">
        <v>41</v>
      </c>
      <c r="C12" s="1" t="s">
        <v>42</v>
      </c>
      <c r="D12" s="4">
        <v>4.773</v>
      </c>
    </row>
    <row r="13">
      <c r="A13" s="11">
        <v>44467.0</v>
      </c>
      <c r="B13" s="1" t="s">
        <v>43</v>
      </c>
      <c r="C13" s="1" t="s">
        <v>44</v>
      </c>
      <c r="D13" s="4">
        <v>5.274</v>
      </c>
    </row>
    <row r="14">
      <c r="A14" s="18">
        <v>44484.0</v>
      </c>
      <c r="B14" s="1" t="s">
        <v>46</v>
      </c>
      <c r="C14" s="1" t="s">
        <v>44</v>
      </c>
      <c r="D14" s="4">
        <v>2.86</v>
      </c>
    </row>
    <row r="15">
      <c r="A15" s="18">
        <v>44484.0</v>
      </c>
      <c r="B15" s="20" t="s">
        <v>47</v>
      </c>
      <c r="C15" s="1" t="s">
        <v>44</v>
      </c>
      <c r="D15" s="4">
        <v>3.61</v>
      </c>
    </row>
    <row r="16">
      <c r="A16" s="18">
        <v>44484.0</v>
      </c>
      <c r="B16" s="1" t="s">
        <v>48</v>
      </c>
      <c r="C16" s="1" t="s">
        <v>42</v>
      </c>
      <c r="D16" s="4">
        <v>4.824</v>
      </c>
    </row>
    <row r="17">
      <c r="A17" s="18">
        <v>44485.0</v>
      </c>
      <c r="B17" s="1" t="s">
        <v>50</v>
      </c>
      <c r="C17" s="1" t="s">
        <v>51</v>
      </c>
      <c r="D17" s="4">
        <v>4.742</v>
      </c>
    </row>
    <row r="18">
      <c r="A18" s="18">
        <v>44485.0</v>
      </c>
      <c r="B18" s="1" t="s">
        <v>52</v>
      </c>
      <c r="C18" s="1" t="s">
        <v>51</v>
      </c>
      <c r="D18" s="4">
        <v>4.869</v>
      </c>
    </row>
    <row r="19">
      <c r="A19" s="18">
        <v>44486.0</v>
      </c>
      <c r="B19" s="1" t="s">
        <v>53</v>
      </c>
      <c r="C19" s="1" t="s">
        <v>54</v>
      </c>
      <c r="D19" s="4">
        <v>4.324</v>
      </c>
    </row>
    <row r="20">
      <c r="A20" s="18">
        <v>44486.0</v>
      </c>
      <c r="B20" s="1" t="s">
        <v>55</v>
      </c>
      <c r="C20" s="1" t="s">
        <v>54</v>
      </c>
      <c r="D20" s="4">
        <v>4.313</v>
      </c>
    </row>
    <row r="21">
      <c r="A21" s="18">
        <v>44486.0</v>
      </c>
      <c r="B21" s="1" t="s">
        <v>57</v>
      </c>
      <c r="C21" s="1" t="s">
        <v>34</v>
      </c>
      <c r="D21" s="4">
        <v>5.138</v>
      </c>
    </row>
    <row r="22">
      <c r="A22" s="18">
        <v>44487.0</v>
      </c>
      <c r="B22" s="1" t="s">
        <v>58</v>
      </c>
      <c r="C22" s="1" t="s">
        <v>59</v>
      </c>
      <c r="D22" s="4">
        <v>4.356</v>
      </c>
    </row>
    <row r="23">
      <c r="A23" s="18">
        <v>44488.0</v>
      </c>
      <c r="B23" s="1" t="s">
        <v>60</v>
      </c>
      <c r="C23" s="1" t="s">
        <v>30</v>
      </c>
      <c r="D23" s="4">
        <v>3.852</v>
      </c>
    </row>
    <row r="24">
      <c r="A24" s="18">
        <v>44488.0</v>
      </c>
      <c r="B24" s="1" t="s">
        <v>61</v>
      </c>
      <c r="C24" s="1" t="s">
        <v>30</v>
      </c>
      <c r="D24" s="4">
        <v>4.396</v>
      </c>
    </row>
    <row r="25">
      <c r="A25" s="18">
        <v>44489.0</v>
      </c>
      <c r="B25" s="1" t="s">
        <v>62</v>
      </c>
      <c r="C25" s="1" t="s">
        <v>63</v>
      </c>
      <c r="D25" s="4">
        <v>3.28</v>
      </c>
    </row>
    <row r="26">
      <c r="A26" s="18">
        <v>44489.0</v>
      </c>
      <c r="B26" s="1" t="s">
        <v>64</v>
      </c>
      <c r="C26" s="1" t="s">
        <v>63</v>
      </c>
      <c r="D26" s="4">
        <v>4.261</v>
      </c>
    </row>
    <row r="27">
      <c r="A27" s="18">
        <v>44491.0</v>
      </c>
      <c r="B27" s="1" t="s">
        <v>65</v>
      </c>
      <c r="C27" s="1" t="s">
        <v>66</v>
      </c>
      <c r="D27" s="4">
        <v>4.239</v>
      </c>
    </row>
    <row r="28">
      <c r="A28" s="18">
        <v>44497.0</v>
      </c>
      <c r="B28" s="1" t="s">
        <v>67</v>
      </c>
      <c r="C28" s="1" t="s">
        <v>66</v>
      </c>
      <c r="D28" s="4">
        <v>4.309</v>
      </c>
    </row>
    <row r="29">
      <c r="A29" s="11">
        <v>44507.0</v>
      </c>
      <c r="B29" s="1" t="s">
        <v>65</v>
      </c>
      <c r="C29" s="1" t="s">
        <v>66</v>
      </c>
      <c r="D29" s="4">
        <v>4.159</v>
      </c>
    </row>
    <row r="30">
      <c r="A30" s="18">
        <v>44513.0</v>
      </c>
      <c r="B30" s="1" t="s">
        <v>67</v>
      </c>
      <c r="C30" s="1" t="s">
        <v>66</v>
      </c>
      <c r="D30" s="4">
        <v>3.7</v>
      </c>
    </row>
    <row r="31">
      <c r="A31" s="18">
        <v>44516.0</v>
      </c>
      <c r="B31" s="1" t="s">
        <v>67</v>
      </c>
      <c r="C31" s="1" t="s">
        <v>66</v>
      </c>
      <c r="D31" s="4">
        <v>1.881</v>
      </c>
    </row>
    <row r="32">
      <c r="A32" s="18">
        <v>44520.0</v>
      </c>
      <c r="B32" s="1" t="s">
        <v>67</v>
      </c>
      <c r="C32" s="1" t="s">
        <v>66</v>
      </c>
      <c r="D32" s="4">
        <v>3.458</v>
      </c>
    </row>
    <row r="33">
      <c r="A33" s="18">
        <v>44526.0</v>
      </c>
      <c r="B33" s="1" t="s">
        <v>67</v>
      </c>
      <c r="C33" s="1" t="s">
        <v>66</v>
      </c>
      <c r="D33" s="4">
        <v>4.168</v>
      </c>
    </row>
    <row r="34">
      <c r="A34" s="11">
        <v>44531.0</v>
      </c>
      <c r="B34" s="1" t="s">
        <v>67</v>
      </c>
      <c r="C34" s="1" t="s">
        <v>66</v>
      </c>
      <c r="D34" s="4">
        <v>1.813</v>
      </c>
    </row>
    <row r="35">
      <c r="A35" s="11">
        <v>44537.0</v>
      </c>
      <c r="B35" s="1" t="s">
        <v>67</v>
      </c>
      <c r="C35" s="1" t="s">
        <v>66</v>
      </c>
      <c r="D35" s="4">
        <v>4.271</v>
      </c>
    </row>
    <row r="36">
      <c r="A36" s="18">
        <v>44544.0</v>
      </c>
      <c r="B36" s="1" t="s">
        <v>67</v>
      </c>
      <c r="C36" s="1" t="s">
        <v>66</v>
      </c>
      <c r="D36" s="4">
        <v>2.636</v>
      </c>
    </row>
    <row r="37">
      <c r="A37" s="18">
        <v>44550.0</v>
      </c>
      <c r="B37" s="1" t="s">
        <v>67</v>
      </c>
      <c r="C37" s="1" t="s">
        <v>66</v>
      </c>
      <c r="D37" s="4">
        <v>3.444</v>
      </c>
    </row>
    <row r="38">
      <c r="A38" s="18">
        <v>44560.0</v>
      </c>
      <c r="B38" s="1" t="s">
        <v>67</v>
      </c>
      <c r="C38" s="1" t="s">
        <v>66</v>
      </c>
      <c r="D38" s="4">
        <v>4.084</v>
      </c>
    </row>
    <row r="39">
      <c r="A39" s="33">
        <v>44579.0</v>
      </c>
      <c r="B39" s="8" t="s">
        <v>67</v>
      </c>
      <c r="C39" s="8" t="s">
        <v>66</v>
      </c>
      <c r="D39" s="35">
        <v>1.751</v>
      </c>
    </row>
    <row r="40">
      <c r="A40" s="33">
        <v>44579.0</v>
      </c>
      <c r="B40" s="8" t="s">
        <v>69</v>
      </c>
      <c r="C40" s="8" t="s">
        <v>70</v>
      </c>
      <c r="D40" s="35">
        <v>3.79</v>
      </c>
    </row>
    <row r="41">
      <c r="A41" s="33">
        <v>44580.0</v>
      </c>
      <c r="B41" s="8" t="s">
        <v>71</v>
      </c>
      <c r="C41" s="8" t="s">
        <v>70</v>
      </c>
      <c r="D41" s="35">
        <v>5.3566</v>
      </c>
    </row>
    <row r="42">
      <c r="A42" s="33">
        <v>44581.0</v>
      </c>
      <c r="B42" s="8" t="s">
        <v>72</v>
      </c>
      <c r="C42" s="8" t="s">
        <v>24</v>
      </c>
      <c r="D42" s="35">
        <v>4.685</v>
      </c>
    </row>
    <row r="43">
      <c r="A43" s="33">
        <v>44582.0</v>
      </c>
      <c r="B43" s="8" t="s">
        <v>37</v>
      </c>
      <c r="C43" s="8" t="s">
        <v>24</v>
      </c>
      <c r="D43" s="35">
        <v>5.182</v>
      </c>
    </row>
    <row r="44">
      <c r="A44" s="33">
        <v>44582.0</v>
      </c>
      <c r="B44" s="8" t="s">
        <v>73</v>
      </c>
      <c r="C44" s="8" t="s">
        <v>59</v>
      </c>
      <c r="D44" s="35">
        <v>3.829</v>
      </c>
    </row>
    <row r="45">
      <c r="A45" s="33">
        <v>44583.0</v>
      </c>
      <c r="B45" s="8" t="s">
        <v>75</v>
      </c>
      <c r="C45" s="8" t="s">
        <v>59</v>
      </c>
      <c r="D45" s="35">
        <v>5.542</v>
      </c>
    </row>
    <row r="46">
      <c r="A46" s="33">
        <v>44583.0</v>
      </c>
      <c r="B46" s="8" t="s">
        <v>76</v>
      </c>
      <c r="C46" s="8" t="s">
        <v>34</v>
      </c>
      <c r="D46" s="35">
        <v>4.795</v>
      </c>
    </row>
    <row r="47">
      <c r="A47" s="33">
        <v>44584.0</v>
      </c>
      <c r="B47" s="8" t="s">
        <v>57</v>
      </c>
      <c r="C47" s="8" t="s">
        <v>34</v>
      </c>
      <c r="D47" s="35">
        <v>4.663</v>
      </c>
    </row>
    <row r="48">
      <c r="A48" s="33">
        <v>44584.0</v>
      </c>
      <c r="B48" s="8" t="s">
        <v>78</v>
      </c>
      <c r="C48" s="8" t="s">
        <v>34</v>
      </c>
      <c r="D48" s="35">
        <v>2.633</v>
      </c>
    </row>
    <row r="49">
      <c r="A49" s="33">
        <v>44584.0</v>
      </c>
      <c r="B49" s="8" t="s">
        <v>79</v>
      </c>
      <c r="C49" s="8" t="s">
        <v>54</v>
      </c>
      <c r="D49" s="35">
        <v>2.514</v>
      </c>
    </row>
    <row r="50">
      <c r="A50" s="33">
        <v>44585.0</v>
      </c>
      <c r="B50" s="8" t="s">
        <v>80</v>
      </c>
      <c r="C50" s="8" t="s">
        <v>54</v>
      </c>
      <c r="D50" s="35">
        <v>5.698</v>
      </c>
    </row>
    <row r="51">
      <c r="A51" s="33">
        <v>44586.0</v>
      </c>
      <c r="B51" s="8" t="s">
        <v>81</v>
      </c>
      <c r="C51" s="8" t="s">
        <v>54</v>
      </c>
      <c r="D51" s="35">
        <v>5.256</v>
      </c>
    </row>
    <row r="52">
      <c r="A52" s="33">
        <v>44587.0</v>
      </c>
      <c r="B52" s="8" t="s">
        <v>82</v>
      </c>
      <c r="C52" s="8" t="s">
        <v>51</v>
      </c>
      <c r="D52" s="35">
        <v>4.874</v>
      </c>
    </row>
    <row r="53">
      <c r="A53" s="33">
        <v>44588.0</v>
      </c>
      <c r="B53" s="8" t="s">
        <v>84</v>
      </c>
      <c r="C53" s="8" t="s">
        <v>51</v>
      </c>
      <c r="D53" s="35">
        <v>3.318</v>
      </c>
    </row>
    <row r="54">
      <c r="A54" s="33">
        <v>44588.0</v>
      </c>
      <c r="B54" s="8" t="s">
        <v>85</v>
      </c>
      <c r="C54" s="8" t="s">
        <v>44</v>
      </c>
      <c r="D54" s="35">
        <v>4.311</v>
      </c>
    </row>
    <row r="55">
      <c r="A55" s="37">
        <v>44594.0</v>
      </c>
      <c r="B55" s="8" t="s">
        <v>86</v>
      </c>
      <c r="C55" s="8" t="s">
        <v>44</v>
      </c>
      <c r="D55" s="35">
        <v>4.818</v>
      </c>
    </row>
    <row r="56">
      <c r="A56" s="10"/>
      <c r="B56" s="10"/>
      <c r="C56" s="10"/>
      <c r="D56" s="39"/>
    </row>
    <row r="57">
      <c r="A57" s="10"/>
      <c r="B57" s="10"/>
      <c r="C57" s="10"/>
      <c r="D57" s="35" t="s">
        <v>88</v>
      </c>
    </row>
    <row r="58">
      <c r="A58" s="8" t="s">
        <v>89</v>
      </c>
      <c r="B58" s="10"/>
      <c r="C58" s="10"/>
      <c r="D58" s="39">
        <f>SUM(D2:D55)</f>
        <v>227.6296</v>
      </c>
    </row>
    <row r="59">
      <c r="A59" s="8" t="s">
        <v>90</v>
      </c>
      <c r="B59" s="10"/>
      <c r="C59" s="10"/>
      <c r="D59" s="39">
        <f>AVERAGE(D2:D55)</f>
        <v>4.215362963</v>
      </c>
    </row>
    <row r="60">
      <c r="A60" s="10"/>
      <c r="B60" s="10"/>
      <c r="C60" s="10"/>
      <c r="D60" s="39"/>
    </row>
    <row r="61">
      <c r="A61" s="33"/>
      <c r="B61" s="8"/>
      <c r="C61" s="8"/>
      <c r="D61" s="35"/>
    </row>
    <row r="62">
      <c r="A62" s="33">
        <v>44701.0</v>
      </c>
      <c r="B62" s="8" t="s">
        <v>46</v>
      </c>
      <c r="C62" s="8" t="s">
        <v>44</v>
      </c>
      <c r="D62" s="35">
        <v>4.918</v>
      </c>
    </row>
    <row r="63">
      <c r="A63" s="33">
        <v>44704.0</v>
      </c>
      <c r="B63" s="8" t="s">
        <v>46</v>
      </c>
      <c r="C63" s="8" t="s">
        <v>44</v>
      </c>
      <c r="D63" s="35">
        <v>3.552</v>
      </c>
    </row>
    <row r="64">
      <c r="A64" s="33">
        <v>44710.0</v>
      </c>
      <c r="B64" s="8" t="s">
        <v>97</v>
      </c>
      <c r="C64" s="8" t="s">
        <v>44</v>
      </c>
      <c r="D64" s="35">
        <v>4.173</v>
      </c>
    </row>
    <row r="65">
      <c r="A65" s="33">
        <v>44710.0</v>
      </c>
      <c r="B65" s="8" t="s">
        <v>99</v>
      </c>
      <c r="C65" s="8" t="s">
        <v>44</v>
      </c>
      <c r="D65" s="35">
        <v>5.219</v>
      </c>
    </row>
    <row r="66">
      <c r="A66" s="33">
        <v>44711.0</v>
      </c>
      <c r="B66" s="8" t="s">
        <v>82</v>
      </c>
      <c r="C66" s="8" t="s">
        <v>44</v>
      </c>
      <c r="D66" s="35">
        <v>5.627</v>
      </c>
    </row>
    <row r="67">
      <c r="A67" s="33">
        <v>44711.0</v>
      </c>
      <c r="B67" s="8" t="s">
        <v>100</v>
      </c>
      <c r="C67" s="8" t="s">
        <v>44</v>
      </c>
      <c r="D67" s="35">
        <v>5.558</v>
      </c>
    </row>
    <row r="68">
      <c r="A68" s="33">
        <v>44712.0</v>
      </c>
      <c r="B68" s="8" t="s">
        <v>101</v>
      </c>
      <c r="C68" s="8" t="s">
        <v>102</v>
      </c>
      <c r="D68" s="35">
        <v>5.577</v>
      </c>
    </row>
    <row r="69">
      <c r="A69" s="33">
        <v>44720.0</v>
      </c>
      <c r="B69" s="8" t="s">
        <v>103</v>
      </c>
      <c r="C69" s="8" t="s">
        <v>102</v>
      </c>
      <c r="D69" s="35">
        <v>4.674</v>
      </c>
    </row>
    <row r="70">
      <c r="A70" s="33">
        <v>44723.0</v>
      </c>
      <c r="B70" s="8" t="s">
        <v>104</v>
      </c>
      <c r="C70" s="8" t="s">
        <v>102</v>
      </c>
      <c r="D70" s="35">
        <v>4.329</v>
      </c>
    </row>
    <row r="71">
      <c r="A71" s="33">
        <v>44724.0</v>
      </c>
      <c r="B71" s="8" t="s">
        <v>105</v>
      </c>
      <c r="C71" s="8" t="s">
        <v>44</v>
      </c>
      <c r="D71" s="35">
        <v>2.927</v>
      </c>
    </row>
    <row r="72">
      <c r="A72" s="33">
        <v>44724.0</v>
      </c>
      <c r="B72" s="8" t="s">
        <v>106</v>
      </c>
      <c r="C72" s="8" t="s">
        <v>44</v>
      </c>
      <c r="D72" s="35">
        <v>4.2</v>
      </c>
    </row>
    <row r="73">
      <c r="A73" s="33">
        <v>44725.0</v>
      </c>
      <c r="B73" s="8" t="s">
        <v>107</v>
      </c>
      <c r="C73" s="8" t="s">
        <v>44</v>
      </c>
      <c r="D73" s="35">
        <v>2.887</v>
      </c>
    </row>
    <row r="74">
      <c r="A74" s="33">
        <v>44725.0</v>
      </c>
      <c r="B74" s="8" t="s">
        <v>108</v>
      </c>
      <c r="C74" s="8" t="s">
        <v>44</v>
      </c>
      <c r="D74" s="35">
        <v>2.714</v>
      </c>
    </row>
    <row r="75">
      <c r="A75" s="33">
        <v>44726.0</v>
      </c>
      <c r="B75" s="8" t="s">
        <v>110</v>
      </c>
      <c r="C75" s="8" t="s">
        <v>44</v>
      </c>
      <c r="D75" s="35">
        <v>5.287</v>
      </c>
    </row>
    <row r="76">
      <c r="A76" s="10"/>
      <c r="B76" s="10"/>
      <c r="C76" s="10"/>
      <c r="D76" s="35" t="str">
        <f>D57</f>
        <v>Gal</v>
      </c>
    </row>
    <row r="77">
      <c r="A77" s="10"/>
      <c r="B77" s="10"/>
      <c r="C77" s="10"/>
      <c r="D77" s="39">
        <f>SUM(D60:D76)</f>
        <v>61.642</v>
      </c>
    </row>
    <row r="78">
      <c r="A78" s="10"/>
      <c r="B78" s="10"/>
      <c r="C78" s="10"/>
      <c r="D78" s="39">
        <f>AVERAGE(D60:D76)</f>
        <v>4.403</v>
      </c>
    </row>
    <row r="79">
      <c r="A79" s="10"/>
      <c r="B79" s="10"/>
      <c r="C79" s="10"/>
      <c r="D79" s="39"/>
    </row>
    <row r="80">
      <c r="A80" s="10"/>
      <c r="B80" s="10"/>
      <c r="C80" s="10"/>
      <c r="D80" s="39"/>
    </row>
    <row r="81">
      <c r="A81" s="10"/>
      <c r="B81" s="10"/>
      <c r="C81" s="10"/>
      <c r="D81" s="39"/>
    </row>
    <row r="82">
      <c r="A82" s="10"/>
      <c r="B82" s="10"/>
      <c r="C82" s="10"/>
      <c r="D82" s="39"/>
    </row>
    <row r="83">
      <c r="A83" s="10"/>
      <c r="B83" s="10"/>
      <c r="C83" s="10"/>
      <c r="D83" s="39"/>
    </row>
    <row r="84">
      <c r="A84" s="10"/>
      <c r="B84" s="10"/>
      <c r="C84" s="10"/>
      <c r="D84" s="39"/>
    </row>
    <row r="85">
      <c r="A85" s="10"/>
      <c r="B85" s="10"/>
      <c r="C85" s="10"/>
      <c r="D85" s="39"/>
    </row>
    <row r="86">
      <c r="A86" s="10"/>
      <c r="B86" s="10"/>
      <c r="C86" s="10"/>
      <c r="D86" s="39"/>
    </row>
    <row r="87">
      <c r="A87" s="10"/>
      <c r="B87" s="10"/>
      <c r="C87" s="10"/>
      <c r="D87" s="39"/>
    </row>
    <row r="88">
      <c r="A88" s="10"/>
      <c r="B88" s="10"/>
      <c r="C88" s="10"/>
      <c r="D88" s="39"/>
    </row>
    <row r="89">
      <c r="A89" s="10"/>
      <c r="B89" s="10"/>
      <c r="C89" s="10"/>
      <c r="D89" s="39"/>
    </row>
    <row r="90">
      <c r="A90" s="10"/>
      <c r="B90" s="10"/>
      <c r="C90" s="10"/>
      <c r="D90" s="39"/>
    </row>
    <row r="91">
      <c r="A91" s="10"/>
      <c r="B91" s="10"/>
      <c r="C91" s="10"/>
      <c r="D91" s="39"/>
    </row>
    <row r="92">
      <c r="A92" s="10"/>
      <c r="B92" s="10"/>
      <c r="C92" s="10"/>
      <c r="D92" s="39"/>
    </row>
    <row r="93">
      <c r="A93" s="10"/>
      <c r="B93" s="10"/>
      <c r="C93" s="10"/>
      <c r="D93" s="39"/>
    </row>
    <row r="94">
      <c r="A94" s="10"/>
      <c r="B94" s="10"/>
      <c r="C94" s="10"/>
      <c r="D94" s="39"/>
    </row>
    <row r="95">
      <c r="A95" s="10"/>
      <c r="B95" s="10"/>
      <c r="C95" s="10"/>
      <c r="D95" s="39"/>
    </row>
    <row r="96">
      <c r="A96" s="10"/>
      <c r="B96" s="10"/>
      <c r="C96" s="10"/>
      <c r="D96" s="39"/>
    </row>
    <row r="97">
      <c r="A97" s="10"/>
      <c r="B97" s="10"/>
      <c r="C97" s="10"/>
      <c r="D97" s="39"/>
    </row>
    <row r="98">
      <c r="A98" s="10"/>
      <c r="B98" s="10"/>
      <c r="C98" s="10"/>
      <c r="D98" s="39"/>
    </row>
    <row r="99">
      <c r="A99" s="10"/>
      <c r="B99" s="10"/>
      <c r="C99" s="10"/>
      <c r="D99" s="39"/>
    </row>
    <row r="100">
      <c r="A100" s="10"/>
      <c r="B100" s="10"/>
      <c r="C100" s="10"/>
      <c r="D100" s="39"/>
    </row>
    <row r="101">
      <c r="A101" s="10"/>
      <c r="B101" s="10"/>
      <c r="C101" s="10"/>
      <c r="D101" s="39"/>
    </row>
    <row r="102">
      <c r="A102" s="10"/>
      <c r="B102" s="10"/>
      <c r="C102" s="10"/>
      <c r="D102" s="39"/>
    </row>
    <row r="103">
      <c r="A103" s="10"/>
      <c r="B103" s="10"/>
      <c r="C103" s="10"/>
      <c r="D103" s="39"/>
    </row>
    <row r="104">
      <c r="A104" s="10"/>
      <c r="B104" s="10"/>
      <c r="C104" s="10"/>
      <c r="D104" s="39"/>
    </row>
    <row r="105">
      <c r="A105" s="10"/>
      <c r="B105" s="10"/>
      <c r="C105" s="10"/>
      <c r="D105" s="39"/>
    </row>
    <row r="106">
      <c r="A106" s="10"/>
      <c r="B106" s="10"/>
      <c r="C106" s="10"/>
      <c r="D106" s="39"/>
    </row>
    <row r="107">
      <c r="A107" s="10"/>
      <c r="B107" s="10"/>
      <c r="C107" s="10"/>
      <c r="D107" s="39"/>
    </row>
    <row r="108">
      <c r="A108" s="10"/>
      <c r="B108" s="10"/>
      <c r="C108" s="10"/>
      <c r="D108" s="39"/>
    </row>
    <row r="109">
      <c r="A109" s="10"/>
      <c r="B109" s="10"/>
      <c r="C109" s="10"/>
      <c r="D109" s="39"/>
    </row>
    <row r="110">
      <c r="A110" s="10"/>
      <c r="B110" s="10"/>
      <c r="C110" s="10"/>
      <c r="D110" s="39"/>
    </row>
    <row r="111">
      <c r="A111" s="10"/>
      <c r="B111" s="10"/>
      <c r="C111" s="10"/>
      <c r="D111" s="39"/>
    </row>
    <row r="112">
      <c r="A112" s="10"/>
      <c r="B112" s="10"/>
      <c r="C112" s="10"/>
      <c r="D112" s="39"/>
    </row>
    <row r="113">
      <c r="A113" s="10"/>
      <c r="B113" s="10"/>
      <c r="C113" s="10"/>
      <c r="D113" s="39"/>
    </row>
    <row r="114">
      <c r="A114" s="10"/>
      <c r="B114" s="10"/>
      <c r="C114" s="10"/>
      <c r="D114" s="39"/>
    </row>
    <row r="115">
      <c r="A115" s="10"/>
      <c r="B115" s="10"/>
      <c r="C115" s="10"/>
      <c r="D115" s="39"/>
    </row>
    <row r="116">
      <c r="A116" s="10"/>
      <c r="B116" s="10"/>
      <c r="C116" s="10"/>
      <c r="D116" s="39"/>
    </row>
    <row r="117">
      <c r="A117" s="10"/>
      <c r="B117" s="10"/>
      <c r="C117" s="10"/>
      <c r="D117" s="39"/>
    </row>
    <row r="118">
      <c r="A118" s="10"/>
      <c r="B118" s="10"/>
      <c r="C118" s="10"/>
      <c r="D118" s="39"/>
    </row>
    <row r="119">
      <c r="A119" s="10"/>
      <c r="B119" s="10"/>
      <c r="C119" s="10"/>
      <c r="D119" s="39"/>
    </row>
    <row r="120">
      <c r="A120" s="10"/>
      <c r="B120" s="10"/>
      <c r="C120" s="10"/>
      <c r="D120" s="39"/>
    </row>
    <row r="121">
      <c r="A121" s="10"/>
      <c r="B121" s="10"/>
      <c r="C121" s="10"/>
      <c r="D121" s="39"/>
    </row>
    <row r="122">
      <c r="A122" s="10"/>
      <c r="B122" s="10"/>
      <c r="C122" s="10"/>
      <c r="D122" s="39"/>
    </row>
    <row r="123">
      <c r="A123" s="10"/>
      <c r="B123" s="10"/>
      <c r="C123" s="10"/>
      <c r="D123" s="39"/>
    </row>
    <row r="124">
      <c r="A124" s="10"/>
      <c r="B124" s="10"/>
      <c r="C124" s="10"/>
      <c r="D124" s="39"/>
    </row>
    <row r="125">
      <c r="A125" s="10"/>
      <c r="B125" s="10"/>
      <c r="C125" s="10"/>
      <c r="D125" s="39"/>
    </row>
    <row r="126">
      <c r="A126" s="10"/>
      <c r="B126" s="10"/>
      <c r="C126" s="10"/>
      <c r="D126" s="39"/>
    </row>
    <row r="127">
      <c r="A127" s="10"/>
      <c r="B127" s="10"/>
      <c r="C127" s="10"/>
      <c r="D127" s="39"/>
    </row>
    <row r="128">
      <c r="A128" s="10"/>
      <c r="B128" s="10"/>
      <c r="C128" s="10"/>
      <c r="D128" s="39"/>
    </row>
    <row r="129">
      <c r="A129" s="10"/>
      <c r="B129" s="10"/>
      <c r="C129" s="10"/>
      <c r="D129" s="39"/>
    </row>
    <row r="130">
      <c r="A130" s="10"/>
      <c r="B130" s="10"/>
      <c r="C130" s="10"/>
      <c r="D130" s="39"/>
    </row>
    <row r="131">
      <c r="A131" s="10"/>
      <c r="B131" s="10"/>
      <c r="C131" s="10"/>
      <c r="D131" s="39"/>
    </row>
    <row r="132">
      <c r="A132" s="10"/>
      <c r="B132" s="10"/>
      <c r="C132" s="10"/>
      <c r="D132" s="39"/>
    </row>
    <row r="133">
      <c r="A133" s="10"/>
      <c r="B133" s="10"/>
      <c r="C133" s="10"/>
      <c r="D133" s="39"/>
    </row>
    <row r="134">
      <c r="A134" s="10"/>
      <c r="B134" s="10"/>
      <c r="C134" s="10"/>
      <c r="D134" s="39"/>
    </row>
    <row r="135">
      <c r="A135" s="10"/>
      <c r="B135" s="10"/>
      <c r="C135" s="10"/>
      <c r="D135" s="39"/>
    </row>
    <row r="136">
      <c r="A136" s="10"/>
      <c r="B136" s="10"/>
      <c r="C136" s="10"/>
      <c r="D136" s="39"/>
    </row>
    <row r="137">
      <c r="A137" s="10"/>
      <c r="B137" s="10"/>
      <c r="C137" s="10"/>
      <c r="D137" s="39"/>
    </row>
    <row r="138">
      <c r="A138" s="10"/>
      <c r="B138" s="10"/>
      <c r="C138" s="10"/>
      <c r="D138" s="39"/>
    </row>
    <row r="139">
      <c r="A139" s="10"/>
      <c r="B139" s="10"/>
      <c r="C139" s="10"/>
      <c r="D139" s="39"/>
    </row>
    <row r="140">
      <c r="A140" s="10"/>
      <c r="B140" s="10"/>
      <c r="C140" s="10"/>
      <c r="D140" s="39"/>
    </row>
    <row r="141">
      <c r="A141" s="10"/>
      <c r="B141" s="10"/>
      <c r="C141" s="10"/>
      <c r="D141" s="39"/>
    </row>
    <row r="142">
      <c r="A142" s="10"/>
      <c r="B142" s="10"/>
      <c r="C142" s="10"/>
      <c r="D142" s="39"/>
    </row>
    <row r="143">
      <c r="A143" s="10"/>
      <c r="B143" s="10"/>
      <c r="C143" s="10"/>
      <c r="D143" s="39"/>
    </row>
    <row r="144">
      <c r="A144" s="10"/>
      <c r="B144" s="10"/>
      <c r="C144" s="10"/>
      <c r="D144" s="39"/>
    </row>
    <row r="145">
      <c r="A145" s="10"/>
      <c r="B145" s="10"/>
      <c r="C145" s="10"/>
      <c r="D145" s="39"/>
    </row>
    <row r="146">
      <c r="A146" s="10"/>
      <c r="B146" s="10"/>
      <c r="C146" s="10"/>
      <c r="D146" s="39"/>
    </row>
    <row r="147">
      <c r="A147" s="10"/>
      <c r="B147" s="10"/>
      <c r="C147" s="10"/>
      <c r="D147" s="39"/>
    </row>
    <row r="148">
      <c r="A148" s="10"/>
      <c r="B148" s="10"/>
      <c r="C148" s="10"/>
      <c r="D148" s="39"/>
    </row>
    <row r="149">
      <c r="A149" s="10"/>
      <c r="B149" s="10"/>
      <c r="C149" s="10"/>
      <c r="D149" s="39"/>
    </row>
    <row r="150">
      <c r="A150" s="10"/>
      <c r="B150" s="10"/>
      <c r="C150" s="10"/>
      <c r="D150" s="39"/>
    </row>
    <row r="151">
      <c r="A151" s="10"/>
      <c r="B151" s="10"/>
      <c r="C151" s="10"/>
      <c r="D151" s="39"/>
    </row>
    <row r="152">
      <c r="A152" s="10"/>
      <c r="B152" s="10"/>
      <c r="C152" s="10"/>
      <c r="D152" s="39"/>
    </row>
    <row r="153">
      <c r="A153" s="10"/>
      <c r="B153" s="10"/>
      <c r="C153" s="10"/>
      <c r="D153" s="39"/>
    </row>
    <row r="154">
      <c r="A154" s="10"/>
      <c r="B154" s="10"/>
      <c r="C154" s="10"/>
      <c r="D154" s="39"/>
    </row>
    <row r="155">
      <c r="A155" s="10"/>
      <c r="B155" s="10"/>
      <c r="C155" s="10"/>
      <c r="D155" s="39"/>
    </row>
    <row r="156">
      <c r="A156" s="10"/>
      <c r="B156" s="10"/>
      <c r="C156" s="10"/>
      <c r="D156" s="39"/>
    </row>
    <row r="157">
      <c r="A157" s="10"/>
      <c r="B157" s="10"/>
      <c r="C157" s="10"/>
      <c r="D157" s="39"/>
    </row>
    <row r="158">
      <c r="A158" s="10"/>
      <c r="B158" s="10"/>
      <c r="C158" s="10"/>
      <c r="D158" s="39"/>
    </row>
    <row r="159">
      <c r="A159" s="10"/>
      <c r="B159" s="10"/>
      <c r="C159" s="10"/>
      <c r="D159" s="39"/>
    </row>
    <row r="160">
      <c r="A160" s="10"/>
      <c r="B160" s="10"/>
      <c r="C160" s="10"/>
      <c r="D160" s="39"/>
    </row>
    <row r="161">
      <c r="A161" s="10"/>
      <c r="B161" s="10"/>
      <c r="C161" s="10"/>
      <c r="D161" s="39"/>
    </row>
    <row r="162">
      <c r="A162" s="10"/>
      <c r="B162" s="10"/>
      <c r="C162" s="10"/>
      <c r="D162" s="39"/>
    </row>
    <row r="163">
      <c r="A163" s="10"/>
      <c r="B163" s="10"/>
      <c r="C163" s="10"/>
      <c r="D163" s="39"/>
    </row>
    <row r="164">
      <c r="A164" s="10"/>
      <c r="B164" s="10"/>
      <c r="C164" s="10"/>
      <c r="D164" s="39"/>
    </row>
    <row r="165">
      <c r="A165" s="10"/>
      <c r="B165" s="10"/>
      <c r="C165" s="10"/>
      <c r="D165" s="39"/>
    </row>
    <row r="166">
      <c r="A166" s="10"/>
      <c r="B166" s="10"/>
      <c r="C166" s="10"/>
      <c r="D166" s="39"/>
    </row>
    <row r="167">
      <c r="A167" s="10"/>
      <c r="B167" s="10"/>
      <c r="C167" s="10"/>
      <c r="D167" s="39"/>
    </row>
    <row r="168">
      <c r="A168" s="10"/>
      <c r="B168" s="10"/>
      <c r="C168" s="10"/>
      <c r="D168" s="39"/>
    </row>
    <row r="169">
      <c r="A169" s="10"/>
      <c r="B169" s="10"/>
      <c r="C169" s="10"/>
      <c r="D169" s="39"/>
    </row>
    <row r="170">
      <c r="A170" s="10"/>
      <c r="B170" s="10"/>
      <c r="C170" s="10"/>
      <c r="D170" s="39"/>
    </row>
    <row r="171">
      <c r="A171" s="10"/>
      <c r="B171" s="10"/>
      <c r="C171" s="10"/>
      <c r="D171" s="39"/>
    </row>
    <row r="172">
      <c r="A172" s="10"/>
      <c r="B172" s="10"/>
      <c r="C172" s="10"/>
      <c r="D172" s="39"/>
    </row>
    <row r="173">
      <c r="A173" s="10"/>
      <c r="B173" s="10"/>
      <c r="C173" s="10"/>
      <c r="D173" s="39"/>
    </row>
    <row r="174">
      <c r="A174" s="10"/>
      <c r="B174" s="10"/>
      <c r="C174" s="10"/>
      <c r="D174" s="39"/>
    </row>
    <row r="175">
      <c r="A175" s="10"/>
      <c r="B175" s="10"/>
      <c r="C175" s="10"/>
      <c r="D175" s="39"/>
    </row>
    <row r="176">
      <c r="A176" s="10"/>
      <c r="B176" s="10"/>
      <c r="C176" s="10"/>
      <c r="D176" s="39"/>
    </row>
    <row r="177">
      <c r="A177" s="10"/>
      <c r="B177" s="10"/>
      <c r="C177" s="10"/>
      <c r="D177" s="39"/>
    </row>
    <row r="178">
      <c r="A178" s="10"/>
      <c r="B178" s="10"/>
      <c r="C178" s="10"/>
      <c r="D178" s="39"/>
    </row>
    <row r="179">
      <c r="A179" s="10"/>
      <c r="B179" s="10"/>
      <c r="C179" s="10"/>
      <c r="D179" s="39"/>
    </row>
    <row r="180">
      <c r="A180" s="10"/>
      <c r="B180" s="10"/>
      <c r="C180" s="10"/>
      <c r="D180" s="39"/>
    </row>
    <row r="181">
      <c r="A181" s="10"/>
      <c r="B181" s="10"/>
      <c r="C181" s="10"/>
      <c r="D181" s="39"/>
    </row>
    <row r="182">
      <c r="A182" s="10"/>
      <c r="B182" s="10"/>
      <c r="C182" s="10"/>
      <c r="D182" s="39"/>
    </row>
    <row r="183">
      <c r="A183" s="10"/>
      <c r="B183" s="10"/>
      <c r="C183" s="10"/>
      <c r="D183" s="39"/>
    </row>
    <row r="184">
      <c r="A184" s="10"/>
      <c r="B184" s="10"/>
      <c r="C184" s="10"/>
      <c r="D184" s="39"/>
    </row>
    <row r="185">
      <c r="A185" s="10"/>
      <c r="B185" s="10"/>
      <c r="C185" s="10"/>
      <c r="D185" s="39"/>
    </row>
    <row r="186">
      <c r="A186" s="10"/>
      <c r="B186" s="10"/>
      <c r="C186" s="10"/>
      <c r="D186" s="39"/>
    </row>
    <row r="187">
      <c r="A187" s="10"/>
      <c r="B187" s="10"/>
      <c r="C187" s="10"/>
      <c r="D187" s="39"/>
    </row>
    <row r="188">
      <c r="A188" s="10"/>
      <c r="B188" s="10"/>
      <c r="C188" s="10"/>
      <c r="D188" s="39"/>
    </row>
    <row r="189">
      <c r="A189" s="10"/>
      <c r="B189" s="10"/>
      <c r="C189" s="10"/>
      <c r="D189" s="39"/>
    </row>
    <row r="190">
      <c r="A190" s="10"/>
      <c r="B190" s="10"/>
      <c r="C190" s="10"/>
      <c r="D190" s="39"/>
    </row>
    <row r="191">
      <c r="A191" s="10"/>
      <c r="B191" s="10"/>
      <c r="C191" s="10"/>
      <c r="D191" s="39"/>
    </row>
    <row r="192">
      <c r="A192" s="10"/>
      <c r="B192" s="10"/>
      <c r="C192" s="10"/>
      <c r="D192" s="39"/>
    </row>
    <row r="193">
      <c r="A193" s="10"/>
      <c r="B193" s="10"/>
      <c r="C193" s="10"/>
      <c r="D193" s="39"/>
    </row>
    <row r="194">
      <c r="A194" s="10"/>
      <c r="B194" s="10"/>
      <c r="C194" s="10"/>
      <c r="D194" s="39"/>
    </row>
    <row r="195">
      <c r="A195" s="10"/>
      <c r="B195" s="10"/>
      <c r="C195" s="10"/>
      <c r="D195" s="39"/>
    </row>
    <row r="196">
      <c r="A196" s="10"/>
      <c r="B196" s="10"/>
      <c r="C196" s="10"/>
      <c r="D196" s="39"/>
    </row>
    <row r="197">
      <c r="A197" s="10"/>
      <c r="B197" s="10"/>
      <c r="C197" s="10"/>
      <c r="D197" s="39"/>
    </row>
    <row r="198">
      <c r="A198" s="10"/>
      <c r="B198" s="10"/>
      <c r="C198" s="10"/>
      <c r="D198" s="39"/>
    </row>
    <row r="199">
      <c r="A199" s="10"/>
      <c r="B199" s="10"/>
      <c r="C199" s="10"/>
      <c r="D199" s="39"/>
    </row>
    <row r="200">
      <c r="A200" s="10"/>
      <c r="B200" s="10"/>
      <c r="C200" s="10"/>
      <c r="D200" s="39"/>
    </row>
    <row r="201">
      <c r="A201" s="10"/>
      <c r="B201" s="10"/>
      <c r="C201" s="10"/>
      <c r="D201" s="39"/>
    </row>
    <row r="202">
      <c r="A202" s="10"/>
      <c r="B202" s="10"/>
      <c r="C202" s="10"/>
      <c r="D202" s="39"/>
    </row>
    <row r="203">
      <c r="A203" s="10"/>
      <c r="B203" s="10"/>
      <c r="C203" s="10"/>
      <c r="D203" s="39"/>
    </row>
    <row r="204">
      <c r="A204" s="10"/>
      <c r="B204" s="10"/>
      <c r="C204" s="10"/>
      <c r="D204" s="39"/>
    </row>
    <row r="205">
      <c r="A205" s="10"/>
      <c r="B205" s="10"/>
      <c r="C205" s="10"/>
      <c r="D205" s="39"/>
    </row>
    <row r="206">
      <c r="A206" s="10"/>
      <c r="B206" s="10"/>
      <c r="C206" s="10"/>
      <c r="D206" s="39"/>
    </row>
    <row r="207">
      <c r="A207" s="10"/>
      <c r="B207" s="10"/>
      <c r="C207" s="10"/>
      <c r="D207" s="39"/>
    </row>
    <row r="208">
      <c r="A208" s="10"/>
      <c r="B208" s="10"/>
      <c r="C208" s="10"/>
      <c r="D208" s="39"/>
    </row>
    <row r="209">
      <c r="A209" s="10"/>
      <c r="B209" s="10"/>
      <c r="C209" s="10"/>
      <c r="D209" s="39"/>
    </row>
    <row r="210">
      <c r="A210" s="10"/>
      <c r="B210" s="10"/>
      <c r="C210" s="10"/>
      <c r="D210" s="39"/>
    </row>
    <row r="211">
      <c r="A211" s="10"/>
      <c r="B211" s="10"/>
      <c r="C211" s="10"/>
      <c r="D211" s="39"/>
    </row>
    <row r="212">
      <c r="A212" s="10"/>
      <c r="B212" s="10"/>
      <c r="C212" s="10"/>
      <c r="D212" s="39"/>
    </row>
    <row r="213">
      <c r="A213" s="10"/>
      <c r="B213" s="10"/>
      <c r="C213" s="10"/>
      <c r="D213" s="39"/>
    </row>
    <row r="214">
      <c r="A214" s="10"/>
      <c r="B214" s="10"/>
      <c r="C214" s="10"/>
      <c r="D214" s="39"/>
    </row>
    <row r="215">
      <c r="A215" s="10"/>
      <c r="B215" s="10"/>
      <c r="C215" s="10"/>
      <c r="D215" s="39"/>
    </row>
    <row r="216">
      <c r="A216" s="10"/>
      <c r="B216" s="10"/>
      <c r="C216" s="10"/>
      <c r="D216" s="39"/>
    </row>
    <row r="217">
      <c r="A217" s="10"/>
      <c r="B217" s="10"/>
      <c r="C217" s="10"/>
      <c r="D217" s="39"/>
    </row>
    <row r="218">
      <c r="A218" s="10"/>
      <c r="B218" s="10"/>
      <c r="C218" s="10"/>
      <c r="D218" s="39"/>
    </row>
    <row r="219">
      <c r="A219" s="10"/>
      <c r="B219" s="10"/>
      <c r="C219" s="10"/>
      <c r="D219" s="39"/>
    </row>
    <row r="220">
      <c r="A220" s="10"/>
      <c r="B220" s="10"/>
      <c r="C220" s="10"/>
      <c r="D220" s="39"/>
    </row>
    <row r="221">
      <c r="A221" s="10"/>
      <c r="B221" s="10"/>
      <c r="C221" s="10"/>
      <c r="D221" s="39"/>
    </row>
    <row r="222">
      <c r="A222" s="10"/>
      <c r="B222" s="10"/>
      <c r="C222" s="10"/>
      <c r="D222" s="39"/>
    </row>
    <row r="223">
      <c r="A223" s="10"/>
      <c r="B223" s="10"/>
      <c r="C223" s="10"/>
      <c r="D223" s="39"/>
    </row>
    <row r="224">
      <c r="A224" s="10"/>
      <c r="B224" s="10"/>
      <c r="C224" s="10"/>
      <c r="D224" s="39"/>
    </row>
    <row r="225">
      <c r="A225" s="10"/>
      <c r="B225" s="10"/>
      <c r="C225" s="10"/>
      <c r="D225" s="39"/>
    </row>
    <row r="226">
      <c r="A226" s="10"/>
      <c r="B226" s="10"/>
      <c r="C226" s="10"/>
      <c r="D226" s="39"/>
    </row>
    <row r="227">
      <c r="A227" s="10"/>
      <c r="B227" s="10"/>
      <c r="C227" s="10"/>
      <c r="D227" s="39"/>
    </row>
    <row r="228">
      <c r="A228" s="10"/>
      <c r="B228" s="10"/>
      <c r="C228" s="10"/>
      <c r="D228" s="39"/>
    </row>
    <row r="229">
      <c r="A229" s="10"/>
      <c r="B229" s="10"/>
      <c r="C229" s="10"/>
      <c r="D229" s="39"/>
    </row>
    <row r="230">
      <c r="A230" s="10"/>
      <c r="B230" s="10"/>
      <c r="C230" s="10"/>
      <c r="D230" s="39"/>
    </row>
    <row r="231">
      <c r="A231" s="10"/>
      <c r="B231" s="10"/>
      <c r="C231" s="10"/>
      <c r="D231" s="39"/>
    </row>
    <row r="232">
      <c r="A232" s="10"/>
      <c r="B232" s="10"/>
      <c r="C232" s="10"/>
      <c r="D232" s="39"/>
    </row>
    <row r="233">
      <c r="A233" s="10"/>
      <c r="B233" s="10"/>
      <c r="C233" s="10"/>
      <c r="D233" s="39"/>
    </row>
    <row r="234">
      <c r="A234" s="10"/>
      <c r="B234" s="10"/>
      <c r="C234" s="10"/>
      <c r="D234" s="39"/>
    </row>
    <row r="235">
      <c r="A235" s="10"/>
      <c r="B235" s="10"/>
      <c r="C235" s="10"/>
      <c r="D235" s="39"/>
    </row>
    <row r="236">
      <c r="A236" s="10"/>
      <c r="B236" s="10"/>
      <c r="C236" s="10"/>
      <c r="D236" s="39"/>
    </row>
    <row r="237">
      <c r="A237" s="10"/>
      <c r="B237" s="10"/>
      <c r="C237" s="10"/>
      <c r="D237" s="39"/>
    </row>
    <row r="238">
      <c r="A238" s="10"/>
      <c r="B238" s="10"/>
      <c r="C238" s="10"/>
      <c r="D238" s="39"/>
    </row>
    <row r="239">
      <c r="A239" s="10"/>
      <c r="B239" s="10"/>
      <c r="C239" s="10"/>
      <c r="D239" s="39"/>
    </row>
    <row r="240">
      <c r="A240" s="10"/>
      <c r="B240" s="10"/>
      <c r="C240" s="10"/>
      <c r="D240" s="39"/>
    </row>
    <row r="241">
      <c r="A241" s="10"/>
      <c r="B241" s="10"/>
      <c r="C241" s="10"/>
      <c r="D241" s="39"/>
    </row>
    <row r="242">
      <c r="A242" s="10"/>
      <c r="B242" s="10"/>
      <c r="C242" s="10"/>
      <c r="D242" s="39"/>
    </row>
    <row r="243">
      <c r="A243" s="10"/>
      <c r="B243" s="10"/>
      <c r="C243" s="10"/>
      <c r="D243" s="39"/>
    </row>
    <row r="244">
      <c r="A244" s="10"/>
      <c r="B244" s="10"/>
      <c r="C244" s="10"/>
      <c r="D244" s="39"/>
    </row>
    <row r="245">
      <c r="A245" s="10"/>
      <c r="B245" s="10"/>
      <c r="C245" s="10"/>
      <c r="D245" s="39"/>
    </row>
    <row r="246">
      <c r="A246" s="10"/>
      <c r="B246" s="10"/>
      <c r="C246" s="10"/>
      <c r="D246" s="39"/>
    </row>
    <row r="247">
      <c r="A247" s="10"/>
      <c r="B247" s="10"/>
      <c r="C247" s="10"/>
      <c r="D247" s="39"/>
    </row>
    <row r="248">
      <c r="A248" s="10"/>
      <c r="B248" s="10"/>
      <c r="C248" s="10"/>
      <c r="D248" s="39"/>
    </row>
    <row r="249">
      <c r="A249" s="10"/>
      <c r="B249" s="10"/>
      <c r="C249" s="10"/>
      <c r="D249" s="39"/>
    </row>
    <row r="250">
      <c r="A250" s="10"/>
      <c r="B250" s="10"/>
      <c r="C250" s="10"/>
      <c r="D250" s="39"/>
    </row>
    <row r="251">
      <c r="A251" s="10"/>
      <c r="B251" s="10"/>
      <c r="C251" s="10"/>
      <c r="D251" s="39"/>
    </row>
    <row r="252">
      <c r="A252" s="10"/>
      <c r="B252" s="10"/>
      <c r="C252" s="10"/>
      <c r="D252" s="39"/>
    </row>
    <row r="253">
      <c r="A253" s="10"/>
      <c r="B253" s="10"/>
      <c r="C253" s="10"/>
      <c r="D253" s="39"/>
    </row>
    <row r="254">
      <c r="A254" s="10"/>
      <c r="B254" s="10"/>
      <c r="C254" s="10"/>
      <c r="D254" s="39"/>
    </row>
    <row r="255">
      <c r="A255" s="10"/>
      <c r="B255" s="10"/>
      <c r="C255" s="10"/>
      <c r="D255" s="39"/>
    </row>
    <row r="256">
      <c r="A256" s="10"/>
      <c r="B256" s="10"/>
      <c r="C256" s="10"/>
      <c r="D256" s="39"/>
    </row>
    <row r="257">
      <c r="A257" s="10"/>
      <c r="B257" s="10"/>
      <c r="C257" s="10"/>
      <c r="D257" s="39"/>
    </row>
    <row r="258">
      <c r="A258" s="10"/>
      <c r="B258" s="10"/>
      <c r="C258" s="10"/>
      <c r="D258" s="39"/>
    </row>
    <row r="259">
      <c r="A259" s="10"/>
      <c r="B259" s="10"/>
      <c r="C259" s="10"/>
      <c r="D259" s="39"/>
    </row>
    <row r="260">
      <c r="A260" s="10"/>
      <c r="B260" s="10"/>
      <c r="C260" s="10"/>
      <c r="D260" s="39"/>
    </row>
    <row r="261">
      <c r="A261" s="10"/>
      <c r="B261" s="10"/>
      <c r="C261" s="10"/>
      <c r="D261" s="39"/>
    </row>
    <row r="262">
      <c r="A262" s="10"/>
      <c r="B262" s="10"/>
      <c r="C262" s="10"/>
      <c r="D262" s="39"/>
    </row>
    <row r="263">
      <c r="A263" s="10"/>
      <c r="B263" s="10"/>
      <c r="C263" s="10"/>
      <c r="D263" s="39"/>
    </row>
    <row r="264">
      <c r="A264" s="10"/>
      <c r="B264" s="10"/>
      <c r="C264" s="10"/>
      <c r="D264" s="39"/>
    </row>
    <row r="265">
      <c r="A265" s="10"/>
      <c r="B265" s="10"/>
      <c r="C265" s="10"/>
      <c r="D265" s="39"/>
    </row>
    <row r="266">
      <c r="A266" s="10"/>
      <c r="B266" s="10"/>
      <c r="C266" s="10"/>
      <c r="D266" s="39"/>
    </row>
    <row r="267">
      <c r="A267" s="10"/>
      <c r="B267" s="10"/>
      <c r="C267" s="10"/>
      <c r="D267" s="39"/>
    </row>
    <row r="268">
      <c r="A268" s="10"/>
      <c r="B268" s="10"/>
      <c r="C268" s="10"/>
      <c r="D268" s="39"/>
    </row>
    <row r="269">
      <c r="A269" s="10"/>
      <c r="B269" s="10"/>
      <c r="C269" s="10"/>
      <c r="D269" s="39"/>
    </row>
    <row r="270">
      <c r="A270" s="10"/>
      <c r="B270" s="10"/>
      <c r="C270" s="10"/>
      <c r="D270" s="39"/>
    </row>
    <row r="271">
      <c r="A271" s="10"/>
      <c r="B271" s="10"/>
      <c r="C271" s="10"/>
      <c r="D271" s="39"/>
    </row>
    <row r="272">
      <c r="A272" s="10"/>
      <c r="B272" s="10"/>
      <c r="C272" s="10"/>
      <c r="D272" s="39"/>
    </row>
    <row r="273">
      <c r="A273" s="10"/>
      <c r="B273" s="10"/>
      <c r="C273" s="10"/>
      <c r="D273" s="39"/>
    </row>
    <row r="274">
      <c r="A274" s="10"/>
      <c r="B274" s="10"/>
      <c r="C274" s="10"/>
      <c r="D274" s="39"/>
    </row>
    <row r="275">
      <c r="A275" s="10"/>
      <c r="B275" s="10"/>
      <c r="C275" s="10"/>
      <c r="D275" s="39"/>
    </row>
    <row r="276">
      <c r="A276" s="10"/>
      <c r="B276" s="10"/>
      <c r="C276" s="10"/>
      <c r="D276" s="39"/>
    </row>
    <row r="277">
      <c r="A277" s="10"/>
      <c r="B277" s="10"/>
      <c r="C277" s="10"/>
      <c r="D277" s="39"/>
    </row>
    <row r="278">
      <c r="A278" s="10"/>
      <c r="B278" s="10"/>
      <c r="C278" s="10"/>
      <c r="D278" s="39"/>
    </row>
    <row r="279">
      <c r="A279" s="10"/>
      <c r="B279" s="10"/>
      <c r="C279" s="10"/>
      <c r="D279" s="39"/>
    </row>
    <row r="280">
      <c r="A280" s="10"/>
      <c r="B280" s="10"/>
      <c r="C280" s="10"/>
      <c r="D280" s="39"/>
    </row>
    <row r="281">
      <c r="A281" s="10"/>
      <c r="B281" s="10"/>
      <c r="C281" s="10"/>
      <c r="D281" s="39"/>
    </row>
    <row r="282">
      <c r="A282" s="10"/>
      <c r="B282" s="10"/>
      <c r="C282" s="10"/>
      <c r="D282" s="39"/>
    </row>
    <row r="283">
      <c r="A283" s="10"/>
      <c r="B283" s="10"/>
      <c r="C283" s="10"/>
      <c r="D283" s="39"/>
    </row>
    <row r="284">
      <c r="A284" s="10"/>
      <c r="B284" s="10"/>
      <c r="C284" s="10"/>
      <c r="D284" s="39"/>
    </row>
    <row r="285">
      <c r="A285" s="10"/>
      <c r="B285" s="10"/>
      <c r="C285" s="10"/>
      <c r="D285" s="39"/>
    </row>
    <row r="286">
      <c r="A286" s="10"/>
      <c r="B286" s="10"/>
      <c r="C286" s="10"/>
      <c r="D286" s="39"/>
    </row>
    <row r="287">
      <c r="A287" s="10"/>
      <c r="B287" s="10"/>
      <c r="C287" s="10"/>
      <c r="D287" s="39"/>
    </row>
    <row r="288">
      <c r="A288" s="10"/>
      <c r="B288" s="10"/>
      <c r="C288" s="10"/>
      <c r="D288" s="39"/>
    </row>
    <row r="289">
      <c r="A289" s="10"/>
      <c r="B289" s="10"/>
      <c r="C289" s="10"/>
      <c r="D289" s="39"/>
    </row>
    <row r="290">
      <c r="A290" s="10"/>
      <c r="B290" s="10"/>
      <c r="C290" s="10"/>
      <c r="D290" s="39"/>
    </row>
    <row r="291">
      <c r="A291" s="10"/>
      <c r="B291" s="10"/>
      <c r="C291" s="10"/>
      <c r="D291" s="39"/>
    </row>
    <row r="292">
      <c r="A292" s="10"/>
      <c r="B292" s="10"/>
      <c r="C292" s="10"/>
      <c r="D292" s="39"/>
    </row>
    <row r="293">
      <c r="A293" s="10"/>
      <c r="B293" s="10"/>
      <c r="C293" s="10"/>
      <c r="D293" s="39"/>
    </row>
    <row r="294">
      <c r="A294" s="10"/>
      <c r="B294" s="10"/>
      <c r="C294" s="10"/>
      <c r="D294" s="39"/>
    </row>
    <row r="295">
      <c r="A295" s="10"/>
      <c r="B295" s="10"/>
      <c r="C295" s="10"/>
      <c r="D295" s="39"/>
    </row>
    <row r="296">
      <c r="A296" s="10"/>
      <c r="B296" s="10"/>
      <c r="C296" s="10"/>
      <c r="D296" s="39"/>
    </row>
    <row r="297">
      <c r="A297" s="10"/>
      <c r="B297" s="10"/>
      <c r="C297" s="10"/>
      <c r="D297" s="39"/>
    </row>
    <row r="298">
      <c r="A298" s="10"/>
      <c r="B298" s="10"/>
      <c r="C298" s="10"/>
      <c r="D298" s="39"/>
    </row>
    <row r="299">
      <c r="A299" s="10"/>
      <c r="B299" s="10"/>
      <c r="C299" s="10"/>
      <c r="D299" s="39"/>
    </row>
    <row r="300">
      <c r="A300" s="10"/>
      <c r="B300" s="10"/>
      <c r="C300" s="10"/>
      <c r="D300" s="39"/>
    </row>
    <row r="301">
      <c r="A301" s="10"/>
      <c r="B301" s="10"/>
      <c r="C301" s="10"/>
      <c r="D301" s="39"/>
    </row>
    <row r="302">
      <c r="A302" s="10"/>
      <c r="B302" s="10"/>
      <c r="C302" s="10"/>
      <c r="D302" s="39"/>
    </row>
    <row r="303">
      <c r="A303" s="10"/>
      <c r="B303" s="10"/>
      <c r="C303" s="10"/>
      <c r="D303" s="39"/>
    </row>
    <row r="304">
      <c r="A304" s="10"/>
      <c r="B304" s="10"/>
      <c r="C304" s="10"/>
      <c r="D304" s="39"/>
    </row>
    <row r="305">
      <c r="A305" s="10"/>
      <c r="B305" s="10"/>
      <c r="C305" s="10"/>
      <c r="D305" s="39"/>
    </row>
    <row r="306">
      <c r="A306" s="10"/>
      <c r="B306" s="10"/>
      <c r="C306" s="10"/>
      <c r="D306" s="39"/>
    </row>
    <row r="307">
      <c r="A307" s="10"/>
      <c r="B307" s="10"/>
      <c r="C307" s="10"/>
      <c r="D307" s="39"/>
    </row>
    <row r="308">
      <c r="A308" s="10"/>
      <c r="B308" s="10"/>
      <c r="C308" s="10"/>
      <c r="D308" s="39"/>
    </row>
    <row r="309">
      <c r="A309" s="10"/>
      <c r="B309" s="10"/>
      <c r="C309" s="10"/>
      <c r="D309" s="39"/>
    </row>
    <row r="310">
      <c r="A310" s="10"/>
      <c r="B310" s="10"/>
      <c r="C310" s="10"/>
      <c r="D310" s="39"/>
    </row>
    <row r="311">
      <c r="A311" s="10"/>
      <c r="B311" s="10"/>
      <c r="C311" s="10"/>
      <c r="D311" s="39"/>
    </row>
    <row r="312">
      <c r="A312" s="10"/>
      <c r="B312" s="10"/>
      <c r="C312" s="10"/>
      <c r="D312" s="39"/>
    </row>
    <row r="313">
      <c r="A313" s="10"/>
      <c r="B313" s="10"/>
      <c r="C313" s="10"/>
      <c r="D313" s="39"/>
    </row>
    <row r="314">
      <c r="A314" s="10"/>
      <c r="B314" s="10"/>
      <c r="C314" s="10"/>
      <c r="D314" s="39"/>
    </row>
    <row r="315">
      <c r="A315" s="10"/>
      <c r="B315" s="10"/>
      <c r="C315" s="10"/>
      <c r="D315" s="39"/>
    </row>
    <row r="316">
      <c r="A316" s="10"/>
      <c r="B316" s="10"/>
      <c r="C316" s="10"/>
      <c r="D316" s="39"/>
    </row>
    <row r="317">
      <c r="A317" s="10"/>
      <c r="B317" s="10"/>
      <c r="C317" s="10"/>
      <c r="D317" s="39"/>
    </row>
    <row r="318">
      <c r="A318" s="10"/>
      <c r="B318" s="10"/>
      <c r="C318" s="10"/>
      <c r="D318" s="39"/>
    </row>
    <row r="319">
      <c r="A319" s="10"/>
      <c r="B319" s="10"/>
      <c r="C319" s="10"/>
      <c r="D319" s="39"/>
    </row>
    <row r="320">
      <c r="A320" s="10"/>
      <c r="B320" s="10"/>
      <c r="C320" s="10"/>
      <c r="D320" s="39"/>
    </row>
    <row r="321">
      <c r="A321" s="10"/>
      <c r="B321" s="10"/>
      <c r="C321" s="10"/>
      <c r="D321" s="39"/>
    </row>
    <row r="322">
      <c r="A322" s="10"/>
      <c r="B322" s="10"/>
      <c r="C322" s="10"/>
      <c r="D322" s="39"/>
    </row>
    <row r="323">
      <c r="A323" s="10"/>
      <c r="B323" s="10"/>
      <c r="C323" s="10"/>
      <c r="D323" s="39"/>
    </row>
    <row r="324">
      <c r="A324" s="10"/>
      <c r="B324" s="10"/>
      <c r="C324" s="10"/>
      <c r="D324" s="39"/>
    </row>
    <row r="325">
      <c r="A325" s="10"/>
      <c r="B325" s="10"/>
      <c r="C325" s="10"/>
      <c r="D325" s="39"/>
    </row>
    <row r="326">
      <c r="A326" s="10"/>
      <c r="B326" s="10"/>
      <c r="C326" s="10"/>
      <c r="D326" s="39"/>
    </row>
    <row r="327">
      <c r="A327" s="10"/>
      <c r="B327" s="10"/>
      <c r="C327" s="10"/>
      <c r="D327" s="39"/>
    </row>
    <row r="328">
      <c r="A328" s="10"/>
      <c r="B328" s="10"/>
      <c r="C328" s="10"/>
      <c r="D328" s="39"/>
    </row>
    <row r="329">
      <c r="A329" s="10"/>
      <c r="B329" s="10"/>
      <c r="C329" s="10"/>
      <c r="D329" s="39"/>
    </row>
    <row r="330">
      <c r="A330" s="10"/>
      <c r="B330" s="10"/>
      <c r="C330" s="10"/>
      <c r="D330" s="39"/>
    </row>
    <row r="331">
      <c r="A331" s="10"/>
      <c r="B331" s="10"/>
      <c r="C331" s="10"/>
      <c r="D331" s="39"/>
    </row>
    <row r="332">
      <c r="A332" s="10"/>
      <c r="B332" s="10"/>
      <c r="C332" s="10"/>
      <c r="D332" s="39"/>
    </row>
    <row r="333">
      <c r="A333" s="10"/>
      <c r="B333" s="10"/>
      <c r="C333" s="10"/>
      <c r="D333" s="39"/>
    </row>
    <row r="334">
      <c r="A334" s="10"/>
      <c r="B334" s="10"/>
      <c r="C334" s="10"/>
      <c r="D334" s="39"/>
    </row>
    <row r="335">
      <c r="A335" s="10"/>
      <c r="B335" s="10"/>
      <c r="C335" s="10"/>
      <c r="D335" s="39"/>
    </row>
    <row r="336">
      <c r="A336" s="10"/>
      <c r="B336" s="10"/>
      <c r="C336" s="10"/>
      <c r="D336" s="39"/>
    </row>
    <row r="337">
      <c r="A337" s="10"/>
      <c r="B337" s="10"/>
      <c r="C337" s="10"/>
      <c r="D337" s="39"/>
    </row>
    <row r="338">
      <c r="A338" s="10"/>
      <c r="B338" s="10"/>
      <c r="C338" s="10"/>
      <c r="D338" s="39"/>
    </row>
    <row r="339">
      <c r="A339" s="10"/>
      <c r="B339" s="10"/>
      <c r="C339" s="10"/>
      <c r="D339" s="39"/>
    </row>
    <row r="340">
      <c r="A340" s="10"/>
      <c r="B340" s="10"/>
      <c r="C340" s="10"/>
      <c r="D340" s="39"/>
    </row>
    <row r="341">
      <c r="A341" s="10"/>
      <c r="B341" s="10"/>
      <c r="C341" s="10"/>
      <c r="D341" s="39"/>
    </row>
    <row r="342">
      <c r="A342" s="10"/>
      <c r="B342" s="10"/>
      <c r="C342" s="10"/>
      <c r="D342" s="39"/>
    </row>
    <row r="343">
      <c r="A343" s="10"/>
      <c r="B343" s="10"/>
      <c r="C343" s="10"/>
      <c r="D343" s="39"/>
    </row>
    <row r="344">
      <c r="A344" s="10"/>
      <c r="B344" s="10"/>
      <c r="C344" s="10"/>
      <c r="D344" s="39"/>
    </row>
    <row r="345">
      <c r="A345" s="10"/>
      <c r="B345" s="10"/>
      <c r="C345" s="10"/>
      <c r="D345" s="39"/>
    </row>
    <row r="346">
      <c r="A346" s="10"/>
      <c r="B346" s="10"/>
      <c r="C346" s="10"/>
      <c r="D346" s="39"/>
    </row>
    <row r="347">
      <c r="A347" s="10"/>
      <c r="B347" s="10"/>
      <c r="C347" s="10"/>
      <c r="D347" s="39"/>
    </row>
    <row r="348">
      <c r="A348" s="10"/>
      <c r="B348" s="10"/>
      <c r="C348" s="10"/>
      <c r="D348" s="39"/>
    </row>
    <row r="349">
      <c r="A349" s="10"/>
      <c r="B349" s="10"/>
      <c r="C349" s="10"/>
      <c r="D349" s="39"/>
    </row>
    <row r="350">
      <c r="A350" s="10"/>
      <c r="B350" s="10"/>
      <c r="C350" s="10"/>
      <c r="D350" s="39"/>
    </row>
    <row r="351">
      <c r="A351" s="10"/>
      <c r="B351" s="10"/>
      <c r="C351" s="10"/>
      <c r="D351" s="39"/>
    </row>
    <row r="352">
      <c r="A352" s="10"/>
      <c r="B352" s="10"/>
      <c r="C352" s="10"/>
      <c r="D352" s="39"/>
    </row>
    <row r="353">
      <c r="A353" s="10"/>
      <c r="B353" s="10"/>
      <c r="C353" s="10"/>
      <c r="D353" s="39"/>
    </row>
    <row r="354">
      <c r="A354" s="10"/>
      <c r="B354" s="10"/>
      <c r="C354" s="10"/>
      <c r="D354" s="39"/>
    </row>
    <row r="355">
      <c r="A355" s="10"/>
      <c r="B355" s="10"/>
      <c r="C355" s="10"/>
      <c r="D355" s="39"/>
    </row>
    <row r="356">
      <c r="A356" s="10"/>
      <c r="B356" s="10"/>
      <c r="C356" s="10"/>
      <c r="D356" s="39"/>
    </row>
    <row r="357">
      <c r="A357" s="10"/>
      <c r="B357" s="10"/>
      <c r="C357" s="10"/>
      <c r="D357" s="39"/>
    </row>
    <row r="358">
      <c r="A358" s="10"/>
      <c r="B358" s="10"/>
      <c r="C358" s="10"/>
      <c r="D358" s="39"/>
    </row>
    <row r="359">
      <c r="A359" s="10"/>
      <c r="B359" s="10"/>
      <c r="C359" s="10"/>
      <c r="D359" s="39"/>
    </row>
    <row r="360">
      <c r="A360" s="10"/>
      <c r="B360" s="10"/>
      <c r="C360" s="10"/>
      <c r="D360" s="39"/>
    </row>
    <row r="361">
      <c r="A361" s="10"/>
      <c r="B361" s="10"/>
      <c r="C361" s="10"/>
      <c r="D361" s="39"/>
    </row>
    <row r="362">
      <c r="A362" s="10"/>
      <c r="B362" s="10"/>
      <c r="C362" s="10"/>
      <c r="D362" s="39"/>
    </row>
    <row r="363">
      <c r="A363" s="10"/>
      <c r="B363" s="10"/>
      <c r="C363" s="10"/>
      <c r="D363" s="39"/>
    </row>
    <row r="364">
      <c r="A364" s="10"/>
      <c r="B364" s="10"/>
      <c r="C364" s="10"/>
      <c r="D364" s="39"/>
    </row>
    <row r="365">
      <c r="A365" s="10"/>
      <c r="B365" s="10"/>
      <c r="C365" s="10"/>
      <c r="D365" s="39"/>
    </row>
    <row r="366">
      <c r="A366" s="10"/>
      <c r="B366" s="10"/>
      <c r="C366" s="10"/>
      <c r="D366" s="39"/>
    </row>
    <row r="367">
      <c r="A367" s="10"/>
      <c r="B367" s="10"/>
      <c r="C367" s="10"/>
      <c r="D367" s="39"/>
    </row>
    <row r="368">
      <c r="A368" s="10"/>
      <c r="B368" s="10"/>
      <c r="C368" s="10"/>
      <c r="D368" s="39"/>
    </row>
    <row r="369">
      <c r="A369" s="10"/>
      <c r="B369" s="10"/>
      <c r="C369" s="10"/>
      <c r="D369" s="39"/>
    </row>
    <row r="370">
      <c r="A370" s="10"/>
      <c r="B370" s="10"/>
      <c r="C370" s="10"/>
      <c r="D370" s="39"/>
    </row>
    <row r="371">
      <c r="A371" s="10"/>
      <c r="B371" s="10"/>
      <c r="C371" s="10"/>
      <c r="D371" s="39"/>
    </row>
    <row r="372">
      <c r="A372" s="10"/>
      <c r="B372" s="10"/>
      <c r="C372" s="10"/>
      <c r="D372" s="39"/>
    </row>
    <row r="373">
      <c r="A373" s="10"/>
      <c r="B373" s="10"/>
      <c r="C373" s="10"/>
      <c r="D373" s="39"/>
    </row>
    <row r="374">
      <c r="A374" s="10"/>
      <c r="B374" s="10"/>
      <c r="C374" s="10"/>
      <c r="D374" s="39"/>
    </row>
    <row r="375">
      <c r="A375" s="10"/>
      <c r="B375" s="10"/>
      <c r="C375" s="10"/>
      <c r="D375" s="39"/>
    </row>
    <row r="376">
      <c r="A376" s="10"/>
      <c r="B376" s="10"/>
      <c r="C376" s="10"/>
      <c r="D376" s="39"/>
    </row>
    <row r="377">
      <c r="A377" s="10"/>
      <c r="B377" s="10"/>
      <c r="C377" s="10"/>
      <c r="D377" s="39"/>
    </row>
    <row r="378">
      <c r="A378" s="10"/>
      <c r="B378" s="10"/>
      <c r="C378" s="10"/>
      <c r="D378" s="39"/>
    </row>
    <row r="379">
      <c r="A379" s="10"/>
      <c r="B379" s="10"/>
      <c r="C379" s="10"/>
      <c r="D379" s="39"/>
    </row>
    <row r="380">
      <c r="A380" s="10"/>
      <c r="B380" s="10"/>
      <c r="C380" s="10"/>
      <c r="D380" s="39"/>
    </row>
    <row r="381">
      <c r="A381" s="10"/>
      <c r="B381" s="10"/>
      <c r="C381" s="10"/>
      <c r="D381" s="39"/>
    </row>
    <row r="382">
      <c r="A382" s="10"/>
      <c r="B382" s="10"/>
      <c r="C382" s="10"/>
      <c r="D382" s="39"/>
    </row>
    <row r="383">
      <c r="A383" s="10"/>
      <c r="B383" s="10"/>
      <c r="C383" s="10"/>
      <c r="D383" s="39"/>
    </row>
    <row r="384">
      <c r="A384" s="10"/>
      <c r="B384" s="10"/>
      <c r="C384" s="10"/>
      <c r="D384" s="39"/>
    </row>
    <row r="385">
      <c r="A385" s="10"/>
      <c r="B385" s="10"/>
      <c r="C385" s="10"/>
      <c r="D385" s="39"/>
    </row>
    <row r="386">
      <c r="A386" s="10"/>
      <c r="B386" s="10"/>
      <c r="C386" s="10"/>
      <c r="D386" s="39"/>
    </row>
    <row r="387">
      <c r="A387" s="10"/>
      <c r="B387" s="10"/>
      <c r="C387" s="10"/>
      <c r="D387" s="39"/>
    </row>
    <row r="388">
      <c r="A388" s="10"/>
      <c r="B388" s="10"/>
      <c r="C388" s="10"/>
      <c r="D388" s="39"/>
    </row>
    <row r="389">
      <c r="A389" s="10"/>
      <c r="B389" s="10"/>
      <c r="C389" s="10"/>
      <c r="D389" s="39"/>
    </row>
    <row r="390">
      <c r="A390" s="10"/>
      <c r="B390" s="10"/>
      <c r="C390" s="10"/>
      <c r="D390" s="39"/>
    </row>
    <row r="391">
      <c r="A391" s="10"/>
      <c r="B391" s="10"/>
      <c r="C391" s="10"/>
      <c r="D391" s="39"/>
    </row>
    <row r="392">
      <c r="A392" s="10"/>
      <c r="B392" s="10"/>
      <c r="C392" s="10"/>
      <c r="D392" s="39"/>
    </row>
    <row r="393">
      <c r="A393" s="10"/>
      <c r="B393" s="10"/>
      <c r="C393" s="10"/>
      <c r="D393" s="39"/>
    </row>
    <row r="394">
      <c r="A394" s="10"/>
      <c r="B394" s="10"/>
      <c r="C394" s="10"/>
      <c r="D394" s="39"/>
    </row>
    <row r="395">
      <c r="A395" s="10"/>
      <c r="B395" s="10"/>
      <c r="C395" s="10"/>
      <c r="D395" s="39"/>
    </row>
    <row r="396">
      <c r="A396" s="10"/>
      <c r="B396" s="10"/>
      <c r="C396" s="10"/>
      <c r="D396" s="39"/>
    </row>
    <row r="397">
      <c r="A397" s="10"/>
      <c r="B397" s="10"/>
      <c r="C397" s="10"/>
      <c r="D397" s="39"/>
    </row>
    <row r="398">
      <c r="A398" s="10"/>
      <c r="B398" s="10"/>
      <c r="C398" s="10"/>
      <c r="D398" s="39"/>
    </row>
    <row r="399">
      <c r="A399" s="10"/>
      <c r="B399" s="10"/>
      <c r="C399" s="10"/>
      <c r="D399" s="39"/>
    </row>
    <row r="400">
      <c r="A400" s="10"/>
      <c r="B400" s="10"/>
      <c r="C400" s="10"/>
      <c r="D400" s="39"/>
    </row>
    <row r="401">
      <c r="A401" s="10"/>
      <c r="B401" s="10"/>
      <c r="C401" s="10"/>
      <c r="D401" s="39"/>
    </row>
    <row r="402">
      <c r="A402" s="10"/>
      <c r="B402" s="10"/>
      <c r="C402" s="10"/>
      <c r="D402" s="39"/>
    </row>
    <row r="403">
      <c r="A403" s="10"/>
      <c r="B403" s="10"/>
      <c r="C403" s="10"/>
      <c r="D403" s="39"/>
    </row>
    <row r="404">
      <c r="A404" s="10"/>
      <c r="B404" s="10"/>
      <c r="C404" s="10"/>
      <c r="D404" s="39"/>
    </row>
    <row r="405">
      <c r="A405" s="10"/>
      <c r="B405" s="10"/>
      <c r="C405" s="10"/>
      <c r="D405" s="39"/>
    </row>
    <row r="406">
      <c r="A406" s="10"/>
      <c r="B406" s="10"/>
      <c r="C406" s="10"/>
      <c r="D406" s="39"/>
    </row>
    <row r="407">
      <c r="A407" s="10"/>
      <c r="B407" s="10"/>
      <c r="C407" s="10"/>
      <c r="D407" s="39"/>
    </row>
    <row r="408">
      <c r="A408" s="10"/>
      <c r="B408" s="10"/>
      <c r="C408" s="10"/>
      <c r="D408" s="39"/>
    </row>
    <row r="409">
      <c r="A409" s="10"/>
      <c r="B409" s="10"/>
      <c r="C409" s="10"/>
      <c r="D409" s="39"/>
    </row>
    <row r="410">
      <c r="A410" s="10"/>
      <c r="B410" s="10"/>
      <c r="C410" s="10"/>
      <c r="D410" s="39"/>
    </row>
    <row r="411">
      <c r="A411" s="10"/>
      <c r="B411" s="10"/>
      <c r="C411" s="10"/>
      <c r="D411" s="39"/>
    </row>
    <row r="412">
      <c r="A412" s="10"/>
      <c r="B412" s="10"/>
      <c r="C412" s="10"/>
      <c r="D412" s="39"/>
    </row>
    <row r="413">
      <c r="A413" s="10"/>
      <c r="B413" s="10"/>
      <c r="C413" s="10"/>
      <c r="D413" s="39"/>
    </row>
    <row r="414">
      <c r="A414" s="10"/>
      <c r="B414" s="10"/>
      <c r="C414" s="10"/>
      <c r="D414" s="39"/>
    </row>
    <row r="415">
      <c r="A415" s="10"/>
      <c r="B415" s="10"/>
      <c r="C415" s="10"/>
      <c r="D415" s="39"/>
    </row>
    <row r="416">
      <c r="A416" s="10"/>
      <c r="B416" s="10"/>
      <c r="C416" s="10"/>
      <c r="D416" s="39"/>
    </row>
    <row r="417">
      <c r="A417" s="10"/>
      <c r="B417" s="10"/>
      <c r="C417" s="10"/>
      <c r="D417" s="39"/>
    </row>
    <row r="418">
      <c r="A418" s="10"/>
      <c r="B418" s="10"/>
      <c r="C418" s="10"/>
      <c r="D418" s="39"/>
    </row>
    <row r="419">
      <c r="A419" s="10"/>
      <c r="B419" s="10"/>
      <c r="C419" s="10"/>
      <c r="D419" s="39"/>
    </row>
    <row r="420">
      <c r="A420" s="10"/>
      <c r="B420" s="10"/>
      <c r="C420" s="10"/>
      <c r="D420" s="39"/>
    </row>
    <row r="421">
      <c r="A421" s="10"/>
      <c r="B421" s="10"/>
      <c r="C421" s="10"/>
      <c r="D421" s="39"/>
    </row>
    <row r="422">
      <c r="A422" s="10"/>
      <c r="B422" s="10"/>
      <c r="C422" s="10"/>
      <c r="D422" s="39"/>
    </row>
    <row r="423">
      <c r="A423" s="10"/>
      <c r="B423" s="10"/>
      <c r="C423" s="10"/>
      <c r="D423" s="39"/>
    </row>
    <row r="424">
      <c r="A424" s="10"/>
      <c r="B424" s="10"/>
      <c r="C424" s="10"/>
      <c r="D424" s="39"/>
    </row>
    <row r="425">
      <c r="A425" s="10"/>
      <c r="B425" s="10"/>
      <c r="C425" s="10"/>
      <c r="D425" s="39"/>
    </row>
    <row r="426">
      <c r="A426" s="10"/>
      <c r="B426" s="10"/>
      <c r="C426" s="10"/>
      <c r="D426" s="39"/>
    </row>
    <row r="427">
      <c r="A427" s="10"/>
      <c r="B427" s="10"/>
      <c r="C427" s="10"/>
      <c r="D427" s="39"/>
    </row>
    <row r="428">
      <c r="A428" s="10"/>
      <c r="B428" s="10"/>
      <c r="C428" s="10"/>
      <c r="D428" s="39"/>
    </row>
    <row r="429">
      <c r="A429" s="10"/>
      <c r="B429" s="10"/>
      <c r="C429" s="10"/>
      <c r="D429" s="39"/>
    </row>
    <row r="430">
      <c r="A430" s="10"/>
      <c r="B430" s="10"/>
      <c r="C430" s="10"/>
      <c r="D430" s="39"/>
    </row>
    <row r="431">
      <c r="A431" s="10"/>
      <c r="B431" s="10"/>
      <c r="C431" s="10"/>
      <c r="D431" s="39"/>
    </row>
    <row r="432">
      <c r="A432" s="10"/>
      <c r="B432" s="10"/>
      <c r="C432" s="10"/>
      <c r="D432" s="39"/>
    </row>
    <row r="433">
      <c r="A433" s="10"/>
      <c r="B433" s="10"/>
      <c r="C433" s="10"/>
      <c r="D433" s="39"/>
    </row>
    <row r="434">
      <c r="A434" s="10"/>
      <c r="B434" s="10"/>
      <c r="C434" s="10"/>
      <c r="D434" s="39"/>
    </row>
    <row r="435">
      <c r="A435" s="10"/>
      <c r="B435" s="10"/>
      <c r="C435" s="10"/>
      <c r="D435" s="39"/>
    </row>
    <row r="436">
      <c r="A436" s="10"/>
      <c r="B436" s="10"/>
      <c r="C436" s="10"/>
      <c r="D436" s="39"/>
    </row>
    <row r="437">
      <c r="A437" s="10"/>
      <c r="B437" s="10"/>
      <c r="C437" s="10"/>
      <c r="D437" s="39"/>
    </row>
    <row r="438">
      <c r="A438" s="10"/>
      <c r="B438" s="10"/>
      <c r="C438" s="10"/>
      <c r="D438" s="39"/>
    </row>
    <row r="439">
      <c r="A439" s="10"/>
      <c r="B439" s="10"/>
      <c r="C439" s="10"/>
      <c r="D439" s="39"/>
    </row>
    <row r="440">
      <c r="A440" s="10"/>
      <c r="B440" s="10"/>
      <c r="C440" s="10"/>
      <c r="D440" s="39"/>
    </row>
    <row r="441">
      <c r="A441" s="10"/>
      <c r="B441" s="10"/>
      <c r="C441" s="10"/>
      <c r="D441" s="39"/>
    </row>
    <row r="442">
      <c r="A442" s="10"/>
      <c r="B442" s="10"/>
      <c r="C442" s="10"/>
      <c r="D442" s="39"/>
    </row>
    <row r="443">
      <c r="A443" s="10"/>
      <c r="B443" s="10"/>
      <c r="C443" s="10"/>
      <c r="D443" s="39"/>
    </row>
    <row r="444">
      <c r="A444" s="10"/>
      <c r="B444" s="10"/>
      <c r="C444" s="10"/>
      <c r="D444" s="39"/>
    </row>
    <row r="445">
      <c r="A445" s="10"/>
      <c r="B445" s="10"/>
      <c r="C445" s="10"/>
      <c r="D445" s="39"/>
    </row>
    <row r="446">
      <c r="A446" s="10"/>
      <c r="B446" s="10"/>
      <c r="C446" s="10"/>
      <c r="D446" s="39"/>
    </row>
    <row r="447">
      <c r="A447" s="10"/>
      <c r="B447" s="10"/>
      <c r="C447" s="10"/>
      <c r="D447" s="39"/>
    </row>
    <row r="448">
      <c r="A448" s="10"/>
      <c r="B448" s="10"/>
      <c r="C448" s="10"/>
      <c r="D448" s="39"/>
    </row>
    <row r="449">
      <c r="A449" s="10"/>
      <c r="B449" s="10"/>
      <c r="C449" s="10"/>
      <c r="D449" s="39"/>
    </row>
    <row r="450">
      <c r="A450" s="10"/>
      <c r="B450" s="10"/>
      <c r="C450" s="10"/>
      <c r="D450" s="39"/>
    </row>
    <row r="451">
      <c r="A451" s="10"/>
      <c r="B451" s="10"/>
      <c r="C451" s="10"/>
      <c r="D451" s="39"/>
    </row>
    <row r="452">
      <c r="A452" s="10"/>
      <c r="B452" s="10"/>
      <c r="C452" s="10"/>
      <c r="D452" s="39"/>
    </row>
    <row r="453">
      <c r="A453" s="10"/>
      <c r="B453" s="10"/>
      <c r="C453" s="10"/>
      <c r="D453" s="39"/>
    </row>
    <row r="454">
      <c r="A454" s="10"/>
      <c r="B454" s="10"/>
      <c r="C454" s="10"/>
      <c r="D454" s="39"/>
    </row>
    <row r="455">
      <c r="A455" s="10"/>
      <c r="B455" s="10"/>
      <c r="C455" s="10"/>
      <c r="D455" s="39"/>
    </row>
    <row r="456">
      <c r="A456" s="10"/>
      <c r="B456" s="10"/>
      <c r="C456" s="10"/>
      <c r="D456" s="39"/>
    </row>
    <row r="457">
      <c r="A457" s="10"/>
      <c r="B457" s="10"/>
      <c r="C457" s="10"/>
      <c r="D457" s="39"/>
    </row>
    <row r="458">
      <c r="A458" s="10"/>
      <c r="B458" s="10"/>
      <c r="C458" s="10"/>
      <c r="D458" s="39"/>
    </row>
    <row r="459">
      <c r="A459" s="10"/>
      <c r="B459" s="10"/>
      <c r="C459" s="10"/>
      <c r="D459" s="39"/>
    </row>
    <row r="460">
      <c r="A460" s="10"/>
      <c r="B460" s="10"/>
      <c r="C460" s="10"/>
      <c r="D460" s="39"/>
    </row>
    <row r="461">
      <c r="A461" s="10"/>
      <c r="B461" s="10"/>
      <c r="C461" s="10"/>
      <c r="D461" s="39"/>
    </row>
    <row r="462">
      <c r="A462" s="10"/>
      <c r="B462" s="10"/>
      <c r="C462" s="10"/>
      <c r="D462" s="39"/>
    </row>
    <row r="463">
      <c r="A463" s="10"/>
      <c r="B463" s="10"/>
      <c r="C463" s="10"/>
      <c r="D463" s="39"/>
    </row>
    <row r="464">
      <c r="A464" s="10"/>
      <c r="B464" s="10"/>
      <c r="C464" s="10"/>
      <c r="D464" s="39"/>
    </row>
    <row r="465">
      <c r="A465" s="10"/>
      <c r="B465" s="10"/>
      <c r="C465" s="10"/>
      <c r="D465" s="39"/>
    </row>
    <row r="466">
      <c r="A466" s="10"/>
      <c r="B466" s="10"/>
      <c r="C466" s="10"/>
      <c r="D466" s="39"/>
    </row>
    <row r="467">
      <c r="A467" s="10"/>
      <c r="B467" s="10"/>
      <c r="C467" s="10"/>
      <c r="D467" s="39"/>
    </row>
    <row r="468">
      <c r="A468" s="10"/>
      <c r="B468" s="10"/>
      <c r="C468" s="10"/>
      <c r="D468" s="39"/>
    </row>
    <row r="469">
      <c r="A469" s="10"/>
      <c r="B469" s="10"/>
      <c r="C469" s="10"/>
      <c r="D469" s="39"/>
    </row>
    <row r="470">
      <c r="A470" s="10"/>
      <c r="B470" s="10"/>
      <c r="C470" s="10"/>
      <c r="D470" s="39"/>
    </row>
    <row r="471">
      <c r="A471" s="10"/>
      <c r="B471" s="10"/>
      <c r="C471" s="10"/>
      <c r="D471" s="39"/>
    </row>
    <row r="472">
      <c r="A472" s="10"/>
      <c r="B472" s="10"/>
      <c r="C472" s="10"/>
      <c r="D472" s="39"/>
    </row>
    <row r="473">
      <c r="A473" s="10"/>
      <c r="B473" s="10"/>
      <c r="C473" s="10"/>
      <c r="D473" s="39"/>
    </row>
    <row r="474">
      <c r="A474" s="10"/>
      <c r="B474" s="10"/>
      <c r="C474" s="10"/>
      <c r="D474" s="39"/>
    </row>
    <row r="475">
      <c r="A475" s="10"/>
      <c r="B475" s="10"/>
      <c r="C475" s="10"/>
      <c r="D475" s="39"/>
    </row>
    <row r="476">
      <c r="A476" s="10"/>
      <c r="B476" s="10"/>
      <c r="C476" s="10"/>
      <c r="D476" s="39"/>
    </row>
    <row r="477">
      <c r="A477" s="10"/>
      <c r="B477" s="10"/>
      <c r="C477" s="10"/>
      <c r="D477" s="39"/>
    </row>
    <row r="478">
      <c r="A478" s="10"/>
      <c r="B478" s="10"/>
      <c r="C478" s="10"/>
      <c r="D478" s="39"/>
    </row>
    <row r="479">
      <c r="A479" s="10"/>
      <c r="B479" s="10"/>
      <c r="C479" s="10"/>
      <c r="D479" s="39"/>
    </row>
    <row r="480">
      <c r="A480" s="10"/>
      <c r="B480" s="10"/>
      <c r="C480" s="10"/>
      <c r="D480" s="39"/>
    </row>
    <row r="481">
      <c r="A481" s="10"/>
      <c r="B481" s="10"/>
      <c r="C481" s="10"/>
      <c r="D481" s="39"/>
    </row>
    <row r="482">
      <c r="A482" s="10"/>
      <c r="B482" s="10"/>
      <c r="C482" s="10"/>
      <c r="D482" s="39"/>
    </row>
    <row r="483">
      <c r="A483" s="10"/>
      <c r="B483" s="10"/>
      <c r="C483" s="10"/>
      <c r="D483" s="39"/>
    </row>
    <row r="484">
      <c r="A484" s="10"/>
      <c r="B484" s="10"/>
      <c r="C484" s="10"/>
      <c r="D484" s="39"/>
    </row>
    <row r="485">
      <c r="A485" s="10"/>
      <c r="B485" s="10"/>
      <c r="C485" s="10"/>
      <c r="D485" s="39"/>
    </row>
    <row r="486">
      <c r="A486" s="10"/>
      <c r="B486" s="10"/>
      <c r="C486" s="10"/>
      <c r="D486" s="39"/>
    </row>
    <row r="487">
      <c r="A487" s="10"/>
      <c r="B487" s="10"/>
      <c r="C487" s="10"/>
      <c r="D487" s="39"/>
    </row>
    <row r="488">
      <c r="A488" s="10"/>
      <c r="B488" s="10"/>
      <c r="C488" s="10"/>
      <c r="D488" s="39"/>
    </row>
    <row r="489">
      <c r="A489" s="10"/>
      <c r="B489" s="10"/>
      <c r="C489" s="10"/>
      <c r="D489" s="39"/>
    </row>
    <row r="490">
      <c r="A490" s="10"/>
      <c r="B490" s="10"/>
      <c r="C490" s="10"/>
      <c r="D490" s="39"/>
    </row>
    <row r="491">
      <c r="A491" s="10"/>
      <c r="B491" s="10"/>
      <c r="C491" s="10"/>
      <c r="D491" s="39"/>
    </row>
    <row r="492">
      <c r="A492" s="10"/>
      <c r="B492" s="10"/>
      <c r="C492" s="10"/>
      <c r="D492" s="39"/>
    </row>
    <row r="493">
      <c r="A493" s="10"/>
      <c r="B493" s="10"/>
      <c r="C493" s="10"/>
      <c r="D493" s="39"/>
    </row>
    <row r="494">
      <c r="A494" s="10"/>
      <c r="B494" s="10"/>
      <c r="C494" s="10"/>
      <c r="D494" s="39"/>
    </row>
    <row r="495">
      <c r="A495" s="10"/>
      <c r="B495" s="10"/>
      <c r="C495" s="10"/>
      <c r="D495" s="39"/>
    </row>
    <row r="496">
      <c r="A496" s="10"/>
      <c r="B496" s="10"/>
      <c r="C496" s="10"/>
      <c r="D496" s="39"/>
    </row>
    <row r="497">
      <c r="A497" s="10"/>
      <c r="B497" s="10"/>
      <c r="C497" s="10"/>
      <c r="D497" s="39"/>
    </row>
    <row r="498">
      <c r="A498" s="10"/>
      <c r="B498" s="10"/>
      <c r="C498" s="10"/>
      <c r="D498" s="39"/>
    </row>
    <row r="499">
      <c r="A499" s="10"/>
      <c r="B499" s="10"/>
      <c r="C499" s="10"/>
      <c r="D499" s="39"/>
    </row>
    <row r="500">
      <c r="A500" s="10"/>
      <c r="B500" s="10"/>
      <c r="C500" s="10"/>
      <c r="D500" s="39"/>
    </row>
    <row r="501">
      <c r="A501" s="10"/>
      <c r="B501" s="10"/>
      <c r="C501" s="10"/>
      <c r="D501" s="39"/>
    </row>
    <row r="502">
      <c r="A502" s="10"/>
      <c r="B502" s="10"/>
      <c r="C502" s="10"/>
      <c r="D502" s="39"/>
    </row>
    <row r="503">
      <c r="A503" s="10"/>
      <c r="B503" s="10"/>
      <c r="C503" s="10"/>
      <c r="D503" s="39"/>
    </row>
    <row r="504">
      <c r="A504" s="10"/>
      <c r="B504" s="10"/>
      <c r="C504" s="10"/>
      <c r="D504" s="39"/>
    </row>
    <row r="505">
      <c r="A505" s="10"/>
      <c r="B505" s="10"/>
      <c r="C505" s="10"/>
      <c r="D505" s="39"/>
    </row>
    <row r="506">
      <c r="A506" s="10"/>
      <c r="B506" s="10"/>
      <c r="C506" s="10"/>
      <c r="D506" s="39"/>
    </row>
    <row r="507">
      <c r="A507" s="10"/>
      <c r="B507" s="10"/>
      <c r="C507" s="10"/>
      <c r="D507" s="39"/>
    </row>
    <row r="508">
      <c r="A508" s="10"/>
      <c r="B508" s="10"/>
      <c r="C508" s="10"/>
      <c r="D508" s="39"/>
    </row>
    <row r="509">
      <c r="A509" s="10"/>
      <c r="B509" s="10"/>
      <c r="C509" s="10"/>
      <c r="D509" s="39"/>
    </row>
    <row r="510">
      <c r="A510" s="10"/>
      <c r="B510" s="10"/>
      <c r="C510" s="10"/>
      <c r="D510" s="39"/>
    </row>
    <row r="511">
      <c r="A511" s="10"/>
      <c r="B511" s="10"/>
      <c r="C511" s="10"/>
      <c r="D511" s="39"/>
    </row>
    <row r="512">
      <c r="A512" s="10"/>
      <c r="B512" s="10"/>
      <c r="C512" s="10"/>
      <c r="D512" s="39"/>
    </row>
    <row r="513">
      <c r="A513" s="10"/>
      <c r="B513" s="10"/>
      <c r="C513" s="10"/>
      <c r="D513" s="39"/>
    </row>
    <row r="514">
      <c r="A514" s="10"/>
      <c r="B514" s="10"/>
      <c r="C514" s="10"/>
      <c r="D514" s="39"/>
    </row>
    <row r="515">
      <c r="A515" s="10"/>
      <c r="B515" s="10"/>
      <c r="C515" s="10"/>
      <c r="D515" s="39"/>
    </row>
    <row r="516">
      <c r="A516" s="10"/>
      <c r="B516" s="10"/>
      <c r="C516" s="10"/>
      <c r="D516" s="39"/>
    </row>
    <row r="517">
      <c r="A517" s="10"/>
      <c r="B517" s="10"/>
      <c r="C517" s="10"/>
      <c r="D517" s="39"/>
    </row>
    <row r="518">
      <c r="A518" s="10"/>
      <c r="B518" s="10"/>
      <c r="C518" s="10"/>
      <c r="D518" s="39"/>
    </row>
    <row r="519">
      <c r="A519" s="10"/>
      <c r="B519" s="10"/>
      <c r="C519" s="10"/>
      <c r="D519" s="39"/>
    </row>
    <row r="520">
      <c r="A520" s="10"/>
      <c r="B520" s="10"/>
      <c r="C520" s="10"/>
      <c r="D520" s="39"/>
    </row>
    <row r="521">
      <c r="A521" s="10"/>
      <c r="B521" s="10"/>
      <c r="C521" s="10"/>
      <c r="D521" s="39"/>
    </row>
    <row r="522">
      <c r="A522" s="10"/>
      <c r="B522" s="10"/>
      <c r="C522" s="10"/>
      <c r="D522" s="39"/>
    </row>
    <row r="523">
      <c r="A523" s="10"/>
      <c r="B523" s="10"/>
      <c r="C523" s="10"/>
      <c r="D523" s="39"/>
    </row>
    <row r="524">
      <c r="A524" s="10"/>
      <c r="B524" s="10"/>
      <c r="C524" s="10"/>
      <c r="D524" s="39"/>
    </row>
    <row r="525">
      <c r="A525" s="10"/>
      <c r="B525" s="10"/>
      <c r="C525" s="10"/>
      <c r="D525" s="39"/>
    </row>
    <row r="526">
      <c r="A526" s="10"/>
      <c r="B526" s="10"/>
      <c r="C526" s="10"/>
      <c r="D526" s="39"/>
    </row>
    <row r="527">
      <c r="A527" s="10"/>
      <c r="B527" s="10"/>
      <c r="C527" s="10"/>
      <c r="D527" s="39"/>
    </row>
    <row r="528">
      <c r="A528" s="10"/>
      <c r="B528" s="10"/>
      <c r="C528" s="10"/>
      <c r="D528" s="39"/>
    </row>
    <row r="529">
      <c r="A529" s="10"/>
      <c r="B529" s="10"/>
      <c r="C529" s="10"/>
      <c r="D529" s="39"/>
    </row>
    <row r="530">
      <c r="A530" s="10"/>
      <c r="B530" s="10"/>
      <c r="C530" s="10"/>
      <c r="D530" s="39"/>
    </row>
    <row r="531">
      <c r="A531" s="10"/>
      <c r="B531" s="10"/>
      <c r="C531" s="10"/>
      <c r="D531" s="39"/>
    </row>
    <row r="532">
      <c r="A532" s="10"/>
      <c r="B532" s="10"/>
      <c r="C532" s="10"/>
      <c r="D532" s="39"/>
    </row>
    <row r="533">
      <c r="A533" s="10"/>
      <c r="B533" s="10"/>
      <c r="C533" s="10"/>
      <c r="D533" s="39"/>
    </row>
    <row r="534">
      <c r="A534" s="10"/>
      <c r="B534" s="10"/>
      <c r="C534" s="10"/>
      <c r="D534" s="39"/>
    </row>
    <row r="535">
      <c r="A535" s="10"/>
      <c r="B535" s="10"/>
      <c r="C535" s="10"/>
      <c r="D535" s="39"/>
    </row>
    <row r="536">
      <c r="A536" s="10"/>
      <c r="B536" s="10"/>
      <c r="C536" s="10"/>
      <c r="D536" s="39"/>
    </row>
    <row r="537">
      <c r="A537" s="10"/>
      <c r="B537" s="10"/>
      <c r="C537" s="10"/>
      <c r="D537" s="39"/>
    </row>
    <row r="538">
      <c r="A538" s="10"/>
      <c r="B538" s="10"/>
      <c r="C538" s="10"/>
      <c r="D538" s="39"/>
    </row>
    <row r="539">
      <c r="A539" s="10"/>
      <c r="B539" s="10"/>
      <c r="C539" s="10"/>
      <c r="D539" s="39"/>
    </row>
    <row r="540">
      <c r="A540" s="10"/>
      <c r="B540" s="10"/>
      <c r="C540" s="10"/>
      <c r="D540" s="39"/>
    </row>
    <row r="541">
      <c r="A541" s="10"/>
      <c r="B541" s="10"/>
      <c r="C541" s="10"/>
      <c r="D541" s="39"/>
    </row>
    <row r="542">
      <c r="A542" s="10"/>
      <c r="B542" s="10"/>
      <c r="C542" s="10"/>
      <c r="D542" s="39"/>
    </row>
    <row r="543">
      <c r="A543" s="10"/>
      <c r="B543" s="10"/>
      <c r="C543" s="10"/>
      <c r="D543" s="39"/>
    </row>
    <row r="544">
      <c r="A544" s="10"/>
      <c r="B544" s="10"/>
      <c r="C544" s="10"/>
      <c r="D544" s="39"/>
    </row>
    <row r="545">
      <c r="A545" s="10"/>
      <c r="B545" s="10"/>
      <c r="C545" s="10"/>
      <c r="D545" s="39"/>
    </row>
    <row r="546">
      <c r="A546" s="10"/>
      <c r="B546" s="10"/>
      <c r="C546" s="10"/>
      <c r="D546" s="39"/>
    </row>
    <row r="547">
      <c r="A547" s="10"/>
      <c r="B547" s="10"/>
      <c r="C547" s="10"/>
      <c r="D547" s="39"/>
    </row>
    <row r="548">
      <c r="A548" s="10"/>
      <c r="B548" s="10"/>
      <c r="C548" s="10"/>
      <c r="D548" s="39"/>
    </row>
    <row r="549">
      <c r="A549" s="10"/>
      <c r="B549" s="10"/>
      <c r="C549" s="10"/>
      <c r="D549" s="39"/>
    </row>
    <row r="550">
      <c r="A550" s="10"/>
      <c r="B550" s="10"/>
      <c r="C550" s="10"/>
      <c r="D550" s="39"/>
    </row>
    <row r="551">
      <c r="A551" s="10"/>
      <c r="B551" s="10"/>
      <c r="C551" s="10"/>
      <c r="D551" s="39"/>
    </row>
    <row r="552">
      <c r="A552" s="10"/>
      <c r="B552" s="10"/>
      <c r="C552" s="10"/>
      <c r="D552" s="39"/>
    </row>
    <row r="553">
      <c r="A553" s="10"/>
      <c r="B553" s="10"/>
      <c r="C553" s="10"/>
      <c r="D553" s="39"/>
    </row>
    <row r="554">
      <c r="A554" s="10"/>
      <c r="B554" s="10"/>
      <c r="C554" s="10"/>
      <c r="D554" s="39"/>
    </row>
    <row r="555">
      <c r="A555" s="10"/>
      <c r="B555" s="10"/>
      <c r="C555" s="10"/>
      <c r="D555" s="39"/>
    </row>
    <row r="556">
      <c r="A556" s="10"/>
      <c r="B556" s="10"/>
      <c r="C556" s="10"/>
      <c r="D556" s="39"/>
    </row>
    <row r="557">
      <c r="A557" s="10"/>
      <c r="B557" s="10"/>
      <c r="C557" s="10"/>
      <c r="D557" s="39"/>
    </row>
    <row r="558">
      <c r="A558" s="10"/>
      <c r="B558" s="10"/>
      <c r="C558" s="10"/>
      <c r="D558" s="39"/>
    </row>
    <row r="559">
      <c r="A559" s="10"/>
      <c r="B559" s="10"/>
      <c r="C559" s="10"/>
      <c r="D559" s="39"/>
    </row>
    <row r="560">
      <c r="A560" s="10"/>
      <c r="B560" s="10"/>
      <c r="C560" s="10"/>
      <c r="D560" s="39"/>
    </row>
    <row r="561">
      <c r="A561" s="10"/>
      <c r="B561" s="10"/>
      <c r="C561" s="10"/>
      <c r="D561" s="39"/>
    </row>
    <row r="562">
      <c r="A562" s="10"/>
      <c r="B562" s="10"/>
      <c r="C562" s="10"/>
      <c r="D562" s="39"/>
    </row>
    <row r="563">
      <c r="A563" s="10"/>
      <c r="B563" s="10"/>
      <c r="C563" s="10"/>
      <c r="D563" s="39"/>
    </row>
    <row r="564">
      <c r="A564" s="10"/>
      <c r="B564" s="10"/>
      <c r="C564" s="10"/>
      <c r="D564" s="39"/>
    </row>
    <row r="565">
      <c r="A565" s="10"/>
      <c r="B565" s="10"/>
      <c r="C565" s="10"/>
      <c r="D565" s="39"/>
    </row>
    <row r="566">
      <c r="A566" s="10"/>
      <c r="B566" s="10"/>
      <c r="C566" s="10"/>
      <c r="D566" s="39"/>
    </row>
    <row r="567">
      <c r="A567" s="10"/>
      <c r="B567" s="10"/>
      <c r="C567" s="10"/>
      <c r="D567" s="39"/>
    </row>
    <row r="568">
      <c r="A568" s="10"/>
      <c r="B568" s="10"/>
      <c r="C568" s="10"/>
      <c r="D568" s="39"/>
    </row>
    <row r="569">
      <c r="A569" s="10"/>
      <c r="B569" s="10"/>
      <c r="C569" s="10"/>
      <c r="D569" s="39"/>
    </row>
    <row r="570">
      <c r="A570" s="10"/>
      <c r="B570" s="10"/>
      <c r="C570" s="10"/>
      <c r="D570" s="39"/>
    </row>
    <row r="571">
      <c r="A571" s="10"/>
      <c r="B571" s="10"/>
      <c r="C571" s="10"/>
      <c r="D571" s="39"/>
    </row>
    <row r="572">
      <c r="A572" s="10"/>
      <c r="B572" s="10"/>
      <c r="C572" s="10"/>
      <c r="D572" s="39"/>
    </row>
    <row r="573">
      <c r="A573" s="10"/>
      <c r="B573" s="10"/>
      <c r="C573" s="10"/>
      <c r="D573" s="39"/>
    </row>
    <row r="574">
      <c r="A574" s="10"/>
      <c r="B574" s="10"/>
      <c r="C574" s="10"/>
      <c r="D574" s="39"/>
    </row>
    <row r="575">
      <c r="A575" s="10"/>
      <c r="B575" s="10"/>
      <c r="C575" s="10"/>
      <c r="D575" s="39"/>
    </row>
    <row r="576">
      <c r="A576" s="10"/>
      <c r="B576" s="10"/>
      <c r="C576" s="10"/>
      <c r="D576" s="39"/>
    </row>
    <row r="577">
      <c r="A577" s="10"/>
      <c r="B577" s="10"/>
      <c r="C577" s="10"/>
      <c r="D577" s="39"/>
    </row>
    <row r="578">
      <c r="A578" s="10"/>
      <c r="B578" s="10"/>
      <c r="C578" s="10"/>
      <c r="D578" s="39"/>
    </row>
    <row r="579">
      <c r="A579" s="10"/>
      <c r="B579" s="10"/>
      <c r="C579" s="10"/>
      <c r="D579" s="39"/>
    </row>
    <row r="580">
      <c r="A580" s="10"/>
      <c r="B580" s="10"/>
      <c r="C580" s="10"/>
      <c r="D580" s="39"/>
    </row>
    <row r="581">
      <c r="A581" s="10"/>
      <c r="B581" s="10"/>
      <c r="C581" s="10"/>
      <c r="D581" s="39"/>
    </row>
    <row r="582">
      <c r="A582" s="10"/>
      <c r="B582" s="10"/>
      <c r="C582" s="10"/>
      <c r="D582" s="39"/>
    </row>
    <row r="583">
      <c r="A583" s="10"/>
      <c r="B583" s="10"/>
      <c r="C583" s="10"/>
      <c r="D583" s="39"/>
    </row>
    <row r="584">
      <c r="A584" s="10"/>
      <c r="B584" s="10"/>
      <c r="C584" s="10"/>
      <c r="D584" s="39"/>
    </row>
    <row r="585">
      <c r="A585" s="10"/>
      <c r="B585" s="10"/>
      <c r="C585" s="10"/>
      <c r="D585" s="39"/>
    </row>
    <row r="586">
      <c r="A586" s="10"/>
      <c r="B586" s="10"/>
      <c r="C586" s="10"/>
      <c r="D586" s="39"/>
    </row>
    <row r="587">
      <c r="A587" s="10"/>
      <c r="B587" s="10"/>
      <c r="C587" s="10"/>
      <c r="D587" s="39"/>
    </row>
    <row r="588">
      <c r="A588" s="10"/>
      <c r="B588" s="10"/>
      <c r="C588" s="10"/>
      <c r="D588" s="39"/>
    </row>
    <row r="589">
      <c r="A589" s="10"/>
      <c r="B589" s="10"/>
      <c r="C589" s="10"/>
      <c r="D589" s="39"/>
    </row>
    <row r="590">
      <c r="A590" s="10"/>
      <c r="B590" s="10"/>
      <c r="C590" s="10"/>
      <c r="D590" s="39"/>
    </row>
    <row r="591">
      <c r="A591" s="10"/>
      <c r="B591" s="10"/>
      <c r="C591" s="10"/>
      <c r="D591" s="39"/>
    </row>
    <row r="592">
      <c r="A592" s="10"/>
      <c r="B592" s="10"/>
      <c r="C592" s="10"/>
      <c r="D592" s="39"/>
    </row>
    <row r="593">
      <c r="A593" s="10"/>
      <c r="B593" s="10"/>
      <c r="C593" s="10"/>
      <c r="D593" s="39"/>
    </row>
    <row r="594">
      <c r="A594" s="10"/>
      <c r="B594" s="10"/>
      <c r="C594" s="10"/>
      <c r="D594" s="39"/>
    </row>
    <row r="595">
      <c r="A595" s="10"/>
      <c r="B595" s="10"/>
      <c r="C595" s="10"/>
      <c r="D595" s="39"/>
    </row>
    <row r="596">
      <c r="A596" s="10"/>
      <c r="B596" s="10"/>
      <c r="C596" s="10"/>
      <c r="D596" s="39"/>
    </row>
    <row r="597">
      <c r="A597" s="10"/>
      <c r="B597" s="10"/>
      <c r="C597" s="10"/>
      <c r="D597" s="39"/>
    </row>
    <row r="598">
      <c r="A598" s="10"/>
      <c r="B598" s="10"/>
      <c r="C598" s="10"/>
      <c r="D598" s="39"/>
    </row>
    <row r="599">
      <c r="A599" s="10"/>
      <c r="B599" s="10"/>
      <c r="C599" s="10"/>
      <c r="D599" s="39"/>
    </row>
    <row r="600">
      <c r="A600" s="10"/>
      <c r="B600" s="10"/>
      <c r="C600" s="10"/>
      <c r="D600" s="39"/>
    </row>
    <row r="601">
      <c r="A601" s="10"/>
      <c r="B601" s="10"/>
      <c r="C601" s="10"/>
      <c r="D601" s="39"/>
    </row>
    <row r="602">
      <c r="A602" s="10"/>
      <c r="B602" s="10"/>
      <c r="C602" s="10"/>
      <c r="D602" s="39"/>
    </row>
    <row r="603">
      <c r="A603" s="10"/>
      <c r="B603" s="10"/>
      <c r="C603" s="10"/>
      <c r="D603" s="39"/>
    </row>
    <row r="604">
      <c r="A604" s="10"/>
      <c r="B604" s="10"/>
      <c r="C604" s="10"/>
      <c r="D604" s="39"/>
    </row>
    <row r="605">
      <c r="A605" s="10"/>
      <c r="B605" s="10"/>
      <c r="C605" s="10"/>
      <c r="D605" s="39"/>
    </row>
    <row r="606">
      <c r="A606" s="10"/>
      <c r="B606" s="10"/>
      <c r="C606" s="10"/>
      <c r="D606" s="39"/>
    </row>
    <row r="607">
      <c r="A607" s="10"/>
      <c r="B607" s="10"/>
      <c r="C607" s="10"/>
      <c r="D607" s="39"/>
    </row>
    <row r="608">
      <c r="A608" s="10"/>
      <c r="B608" s="10"/>
      <c r="C608" s="10"/>
      <c r="D608" s="39"/>
    </row>
    <row r="609">
      <c r="A609" s="10"/>
      <c r="B609" s="10"/>
      <c r="C609" s="10"/>
      <c r="D609" s="39"/>
    </row>
    <row r="610">
      <c r="A610" s="10"/>
      <c r="B610" s="10"/>
      <c r="C610" s="10"/>
      <c r="D610" s="39"/>
    </row>
    <row r="611">
      <c r="A611" s="10"/>
      <c r="B611" s="10"/>
      <c r="C611" s="10"/>
      <c r="D611" s="39"/>
    </row>
    <row r="612">
      <c r="A612" s="10"/>
      <c r="B612" s="10"/>
      <c r="C612" s="10"/>
      <c r="D612" s="39"/>
    </row>
    <row r="613">
      <c r="A613" s="10"/>
      <c r="B613" s="10"/>
      <c r="C613" s="10"/>
      <c r="D613" s="39"/>
    </row>
    <row r="614">
      <c r="A614" s="10"/>
      <c r="B614" s="10"/>
      <c r="C614" s="10"/>
      <c r="D614" s="39"/>
    </row>
    <row r="615">
      <c r="A615" s="10"/>
      <c r="B615" s="10"/>
      <c r="C615" s="10"/>
      <c r="D615" s="39"/>
    </row>
    <row r="616">
      <c r="A616" s="10"/>
      <c r="B616" s="10"/>
      <c r="C616" s="10"/>
      <c r="D616" s="39"/>
    </row>
    <row r="617">
      <c r="A617" s="10"/>
      <c r="B617" s="10"/>
      <c r="C617" s="10"/>
      <c r="D617" s="39"/>
    </row>
    <row r="618">
      <c r="A618" s="10"/>
      <c r="B618" s="10"/>
      <c r="C618" s="10"/>
      <c r="D618" s="39"/>
    </row>
    <row r="619">
      <c r="A619" s="10"/>
      <c r="B619" s="10"/>
      <c r="C619" s="10"/>
      <c r="D619" s="39"/>
    </row>
    <row r="620">
      <c r="A620" s="10"/>
      <c r="B620" s="10"/>
      <c r="C620" s="10"/>
      <c r="D620" s="39"/>
    </row>
    <row r="621">
      <c r="A621" s="10"/>
      <c r="B621" s="10"/>
      <c r="C621" s="10"/>
      <c r="D621" s="39"/>
    </row>
    <row r="622">
      <c r="A622" s="10"/>
      <c r="B622" s="10"/>
      <c r="C622" s="10"/>
      <c r="D622" s="39"/>
    </row>
    <row r="623">
      <c r="A623" s="10"/>
      <c r="B623" s="10"/>
      <c r="C623" s="10"/>
      <c r="D623" s="39"/>
    </row>
    <row r="624">
      <c r="A624" s="10"/>
      <c r="B624" s="10"/>
      <c r="C624" s="10"/>
      <c r="D624" s="39"/>
    </row>
    <row r="625">
      <c r="A625" s="10"/>
      <c r="B625" s="10"/>
      <c r="C625" s="10"/>
      <c r="D625" s="39"/>
    </row>
    <row r="626">
      <c r="A626" s="10"/>
      <c r="B626" s="10"/>
      <c r="C626" s="10"/>
      <c r="D626" s="39"/>
    </row>
    <row r="627">
      <c r="A627" s="10"/>
      <c r="B627" s="10"/>
      <c r="C627" s="10"/>
      <c r="D627" s="39"/>
    </row>
    <row r="628">
      <c r="A628" s="10"/>
      <c r="B628" s="10"/>
      <c r="C628" s="10"/>
      <c r="D628" s="39"/>
    </row>
    <row r="629">
      <c r="A629" s="10"/>
      <c r="B629" s="10"/>
      <c r="C629" s="10"/>
      <c r="D629" s="39"/>
    </row>
    <row r="630">
      <c r="A630" s="10"/>
      <c r="B630" s="10"/>
      <c r="C630" s="10"/>
      <c r="D630" s="39"/>
    </row>
    <row r="631">
      <c r="A631" s="10"/>
      <c r="B631" s="10"/>
      <c r="C631" s="10"/>
      <c r="D631" s="39"/>
    </row>
    <row r="632">
      <c r="A632" s="10"/>
      <c r="B632" s="10"/>
      <c r="C632" s="10"/>
      <c r="D632" s="39"/>
    </row>
    <row r="633">
      <c r="A633" s="10"/>
      <c r="B633" s="10"/>
      <c r="C633" s="10"/>
      <c r="D633" s="39"/>
    </row>
    <row r="634">
      <c r="A634" s="10"/>
      <c r="B634" s="10"/>
      <c r="C634" s="10"/>
      <c r="D634" s="39"/>
    </row>
    <row r="635">
      <c r="A635" s="10"/>
      <c r="B635" s="10"/>
      <c r="C635" s="10"/>
      <c r="D635" s="39"/>
    </row>
    <row r="636">
      <c r="A636" s="10"/>
      <c r="B636" s="10"/>
      <c r="C636" s="10"/>
      <c r="D636" s="39"/>
    </row>
    <row r="637">
      <c r="A637" s="10"/>
      <c r="B637" s="10"/>
      <c r="C637" s="10"/>
      <c r="D637" s="39"/>
    </row>
    <row r="638">
      <c r="A638" s="10"/>
      <c r="B638" s="10"/>
      <c r="C638" s="10"/>
      <c r="D638" s="39"/>
    </row>
    <row r="639">
      <c r="A639" s="10"/>
      <c r="B639" s="10"/>
      <c r="C639" s="10"/>
      <c r="D639" s="39"/>
    </row>
    <row r="640">
      <c r="A640" s="10"/>
      <c r="B640" s="10"/>
      <c r="C640" s="10"/>
      <c r="D640" s="39"/>
    </row>
    <row r="641">
      <c r="A641" s="10"/>
      <c r="B641" s="10"/>
      <c r="C641" s="10"/>
      <c r="D641" s="39"/>
    </row>
    <row r="642">
      <c r="A642" s="10"/>
      <c r="B642" s="10"/>
      <c r="C642" s="10"/>
      <c r="D642" s="39"/>
    </row>
    <row r="643">
      <c r="A643" s="10"/>
      <c r="B643" s="10"/>
      <c r="C643" s="10"/>
      <c r="D643" s="39"/>
    </row>
    <row r="644">
      <c r="A644" s="10"/>
      <c r="B644" s="10"/>
      <c r="C644" s="10"/>
      <c r="D644" s="39"/>
    </row>
    <row r="645">
      <c r="A645" s="10"/>
      <c r="B645" s="10"/>
      <c r="C645" s="10"/>
      <c r="D645" s="39"/>
    </row>
    <row r="646">
      <c r="A646" s="10"/>
      <c r="B646" s="10"/>
      <c r="C646" s="10"/>
      <c r="D646" s="39"/>
    </row>
    <row r="647">
      <c r="A647" s="10"/>
      <c r="B647" s="10"/>
      <c r="C647" s="10"/>
      <c r="D647" s="39"/>
    </row>
    <row r="648">
      <c r="A648" s="10"/>
      <c r="B648" s="10"/>
      <c r="C648" s="10"/>
      <c r="D648" s="39"/>
    </row>
    <row r="649">
      <c r="A649" s="10"/>
      <c r="B649" s="10"/>
      <c r="C649" s="10"/>
      <c r="D649" s="39"/>
    </row>
    <row r="650">
      <c r="A650" s="10"/>
      <c r="B650" s="10"/>
      <c r="C650" s="10"/>
      <c r="D650" s="39"/>
    </row>
    <row r="651">
      <c r="A651" s="10"/>
      <c r="B651" s="10"/>
      <c r="C651" s="10"/>
      <c r="D651" s="39"/>
    </row>
    <row r="652">
      <c r="A652" s="10"/>
      <c r="B652" s="10"/>
      <c r="C652" s="10"/>
      <c r="D652" s="39"/>
    </row>
    <row r="653">
      <c r="A653" s="10"/>
      <c r="B653" s="10"/>
      <c r="C653" s="10"/>
      <c r="D653" s="39"/>
    </row>
    <row r="654">
      <c r="A654" s="10"/>
      <c r="B654" s="10"/>
      <c r="C654" s="10"/>
      <c r="D654" s="39"/>
    </row>
    <row r="655">
      <c r="A655" s="10"/>
      <c r="B655" s="10"/>
      <c r="C655" s="10"/>
      <c r="D655" s="39"/>
    </row>
    <row r="656">
      <c r="A656" s="10"/>
      <c r="B656" s="10"/>
      <c r="C656" s="10"/>
      <c r="D656" s="39"/>
    </row>
    <row r="657">
      <c r="A657" s="10"/>
      <c r="B657" s="10"/>
      <c r="C657" s="10"/>
      <c r="D657" s="39"/>
    </row>
    <row r="658">
      <c r="A658" s="10"/>
      <c r="B658" s="10"/>
      <c r="C658" s="10"/>
      <c r="D658" s="39"/>
    </row>
    <row r="659">
      <c r="A659" s="10"/>
      <c r="B659" s="10"/>
      <c r="C659" s="10"/>
      <c r="D659" s="39"/>
    </row>
    <row r="660">
      <c r="A660" s="10"/>
      <c r="B660" s="10"/>
      <c r="C660" s="10"/>
      <c r="D660" s="39"/>
    </row>
    <row r="661">
      <c r="A661" s="10"/>
      <c r="B661" s="10"/>
      <c r="C661" s="10"/>
      <c r="D661" s="39"/>
    </row>
    <row r="662">
      <c r="A662" s="10"/>
      <c r="B662" s="10"/>
      <c r="C662" s="10"/>
      <c r="D662" s="39"/>
    </row>
    <row r="663">
      <c r="A663" s="10"/>
      <c r="B663" s="10"/>
      <c r="C663" s="10"/>
      <c r="D663" s="39"/>
    </row>
    <row r="664">
      <c r="A664" s="10"/>
      <c r="B664" s="10"/>
      <c r="C664" s="10"/>
      <c r="D664" s="39"/>
    </row>
    <row r="665">
      <c r="A665" s="10"/>
      <c r="B665" s="10"/>
      <c r="C665" s="10"/>
      <c r="D665" s="39"/>
    </row>
    <row r="666">
      <c r="A666" s="10"/>
      <c r="B666" s="10"/>
      <c r="C666" s="10"/>
      <c r="D666" s="39"/>
    </row>
    <row r="667">
      <c r="A667" s="10"/>
      <c r="B667" s="10"/>
      <c r="C667" s="10"/>
      <c r="D667" s="39"/>
    </row>
    <row r="668">
      <c r="A668" s="10"/>
      <c r="B668" s="10"/>
      <c r="C668" s="10"/>
      <c r="D668" s="39"/>
    </row>
    <row r="669">
      <c r="A669" s="10"/>
      <c r="B669" s="10"/>
      <c r="C669" s="10"/>
      <c r="D669" s="39"/>
    </row>
    <row r="670">
      <c r="A670" s="10"/>
      <c r="B670" s="10"/>
      <c r="C670" s="10"/>
      <c r="D670" s="39"/>
    </row>
    <row r="671">
      <c r="A671" s="10"/>
      <c r="B671" s="10"/>
      <c r="C671" s="10"/>
      <c r="D671" s="39"/>
    </row>
    <row r="672">
      <c r="A672" s="10"/>
      <c r="B672" s="10"/>
      <c r="C672" s="10"/>
      <c r="D672" s="39"/>
    </row>
    <row r="673">
      <c r="A673" s="10"/>
      <c r="B673" s="10"/>
      <c r="C673" s="10"/>
      <c r="D673" s="39"/>
    </row>
    <row r="674">
      <c r="A674" s="10"/>
      <c r="B674" s="10"/>
      <c r="C674" s="10"/>
      <c r="D674" s="39"/>
    </row>
    <row r="675">
      <c r="A675" s="10"/>
      <c r="B675" s="10"/>
      <c r="C675" s="10"/>
      <c r="D675" s="39"/>
    </row>
    <row r="676">
      <c r="A676" s="10"/>
      <c r="B676" s="10"/>
      <c r="C676" s="10"/>
      <c r="D676" s="39"/>
    </row>
    <row r="677">
      <c r="A677" s="10"/>
      <c r="B677" s="10"/>
      <c r="C677" s="10"/>
      <c r="D677" s="39"/>
    </row>
    <row r="678">
      <c r="A678" s="10"/>
      <c r="B678" s="10"/>
      <c r="C678" s="10"/>
      <c r="D678" s="39"/>
    </row>
    <row r="679">
      <c r="A679" s="10"/>
      <c r="B679" s="10"/>
      <c r="C679" s="10"/>
      <c r="D679" s="39"/>
    </row>
    <row r="680">
      <c r="A680" s="10"/>
      <c r="B680" s="10"/>
      <c r="C680" s="10"/>
      <c r="D680" s="39"/>
    </row>
    <row r="681">
      <c r="A681" s="10"/>
      <c r="B681" s="10"/>
      <c r="C681" s="10"/>
      <c r="D681" s="39"/>
    </row>
    <row r="682">
      <c r="A682" s="10"/>
      <c r="B682" s="10"/>
      <c r="C682" s="10"/>
      <c r="D682" s="39"/>
    </row>
    <row r="683">
      <c r="A683" s="10"/>
      <c r="B683" s="10"/>
      <c r="C683" s="10"/>
      <c r="D683" s="39"/>
    </row>
    <row r="684">
      <c r="A684" s="10"/>
      <c r="B684" s="10"/>
      <c r="C684" s="10"/>
      <c r="D684" s="39"/>
    </row>
    <row r="685">
      <c r="A685" s="10"/>
      <c r="B685" s="10"/>
      <c r="C685" s="10"/>
      <c r="D685" s="39"/>
    </row>
    <row r="686">
      <c r="A686" s="10"/>
      <c r="B686" s="10"/>
      <c r="C686" s="10"/>
      <c r="D686" s="39"/>
    </row>
    <row r="687">
      <c r="A687" s="10"/>
      <c r="B687" s="10"/>
      <c r="C687" s="10"/>
      <c r="D687" s="39"/>
    </row>
    <row r="688">
      <c r="A688" s="10"/>
      <c r="B688" s="10"/>
      <c r="C688" s="10"/>
      <c r="D688" s="39"/>
    </row>
    <row r="689">
      <c r="A689" s="10"/>
      <c r="B689" s="10"/>
      <c r="C689" s="10"/>
      <c r="D689" s="39"/>
    </row>
    <row r="690">
      <c r="A690" s="10"/>
      <c r="B690" s="10"/>
      <c r="C690" s="10"/>
      <c r="D690" s="39"/>
    </row>
    <row r="691">
      <c r="A691" s="10"/>
      <c r="B691" s="10"/>
      <c r="C691" s="10"/>
      <c r="D691" s="39"/>
    </row>
    <row r="692">
      <c r="A692" s="10"/>
      <c r="B692" s="10"/>
      <c r="C692" s="10"/>
      <c r="D692" s="39"/>
    </row>
    <row r="693">
      <c r="A693" s="10"/>
      <c r="B693" s="10"/>
      <c r="C693" s="10"/>
      <c r="D693" s="39"/>
    </row>
    <row r="694">
      <c r="A694" s="10"/>
      <c r="B694" s="10"/>
      <c r="C694" s="10"/>
      <c r="D694" s="39"/>
    </row>
    <row r="695">
      <c r="A695" s="10"/>
      <c r="B695" s="10"/>
      <c r="C695" s="10"/>
      <c r="D695" s="39"/>
    </row>
    <row r="696">
      <c r="A696" s="10"/>
      <c r="B696" s="10"/>
      <c r="C696" s="10"/>
      <c r="D696" s="39"/>
    </row>
    <row r="697">
      <c r="A697" s="10"/>
      <c r="B697" s="10"/>
      <c r="C697" s="10"/>
      <c r="D697" s="39"/>
    </row>
    <row r="698">
      <c r="A698" s="10"/>
      <c r="B698" s="10"/>
      <c r="C698" s="10"/>
      <c r="D698" s="39"/>
    </row>
    <row r="699">
      <c r="A699" s="10"/>
      <c r="B699" s="10"/>
      <c r="C699" s="10"/>
      <c r="D699" s="39"/>
    </row>
    <row r="700">
      <c r="A700" s="10"/>
      <c r="B700" s="10"/>
      <c r="C700" s="10"/>
      <c r="D700" s="39"/>
    </row>
    <row r="701">
      <c r="A701" s="10"/>
      <c r="B701" s="10"/>
      <c r="C701" s="10"/>
      <c r="D701" s="39"/>
    </row>
    <row r="702">
      <c r="A702" s="10"/>
      <c r="B702" s="10"/>
      <c r="C702" s="10"/>
      <c r="D702" s="39"/>
    </row>
    <row r="703">
      <c r="A703" s="10"/>
      <c r="B703" s="10"/>
      <c r="C703" s="10"/>
      <c r="D703" s="39"/>
    </row>
    <row r="704">
      <c r="A704" s="10"/>
      <c r="B704" s="10"/>
      <c r="C704" s="10"/>
      <c r="D704" s="39"/>
    </row>
    <row r="705">
      <c r="A705" s="10"/>
      <c r="B705" s="10"/>
      <c r="C705" s="10"/>
      <c r="D705" s="39"/>
    </row>
    <row r="706">
      <c r="A706" s="10"/>
      <c r="B706" s="10"/>
      <c r="C706" s="10"/>
      <c r="D706" s="39"/>
    </row>
    <row r="707">
      <c r="A707" s="10"/>
      <c r="B707" s="10"/>
      <c r="C707" s="10"/>
      <c r="D707" s="39"/>
    </row>
    <row r="708">
      <c r="A708" s="10"/>
      <c r="B708" s="10"/>
      <c r="C708" s="10"/>
      <c r="D708" s="39"/>
    </row>
    <row r="709">
      <c r="A709" s="10"/>
      <c r="B709" s="10"/>
      <c r="C709" s="10"/>
      <c r="D709" s="39"/>
    </row>
    <row r="710">
      <c r="A710" s="10"/>
      <c r="B710" s="10"/>
      <c r="C710" s="10"/>
      <c r="D710" s="39"/>
    </row>
    <row r="711">
      <c r="A711" s="10"/>
      <c r="B711" s="10"/>
      <c r="C711" s="10"/>
      <c r="D711" s="39"/>
    </row>
    <row r="712">
      <c r="A712" s="10"/>
      <c r="B712" s="10"/>
      <c r="C712" s="10"/>
      <c r="D712" s="39"/>
    </row>
    <row r="713">
      <c r="A713" s="10"/>
      <c r="B713" s="10"/>
      <c r="C713" s="10"/>
      <c r="D713" s="39"/>
    </row>
    <row r="714">
      <c r="A714" s="10"/>
      <c r="B714" s="10"/>
      <c r="C714" s="10"/>
      <c r="D714" s="39"/>
    </row>
    <row r="715">
      <c r="A715" s="10"/>
      <c r="B715" s="10"/>
      <c r="C715" s="10"/>
      <c r="D715" s="39"/>
    </row>
    <row r="716">
      <c r="A716" s="10"/>
      <c r="B716" s="10"/>
      <c r="C716" s="10"/>
      <c r="D716" s="39"/>
    </row>
    <row r="717">
      <c r="A717" s="10"/>
      <c r="B717" s="10"/>
      <c r="C717" s="10"/>
      <c r="D717" s="39"/>
    </row>
    <row r="718">
      <c r="A718" s="10"/>
      <c r="B718" s="10"/>
      <c r="C718" s="10"/>
      <c r="D718" s="39"/>
    </row>
    <row r="719">
      <c r="A719" s="10"/>
      <c r="B719" s="10"/>
      <c r="C719" s="10"/>
      <c r="D719" s="39"/>
    </row>
    <row r="720">
      <c r="A720" s="10"/>
      <c r="B720" s="10"/>
      <c r="C720" s="10"/>
      <c r="D720" s="39"/>
    </row>
    <row r="721">
      <c r="A721" s="10"/>
      <c r="B721" s="10"/>
      <c r="C721" s="10"/>
      <c r="D721" s="39"/>
    </row>
    <row r="722">
      <c r="A722" s="10"/>
      <c r="B722" s="10"/>
      <c r="C722" s="10"/>
      <c r="D722" s="39"/>
    </row>
    <row r="723">
      <c r="A723" s="10"/>
      <c r="B723" s="10"/>
      <c r="C723" s="10"/>
      <c r="D723" s="39"/>
    </row>
    <row r="724">
      <c r="A724" s="10"/>
      <c r="B724" s="10"/>
      <c r="C724" s="10"/>
      <c r="D724" s="39"/>
    </row>
    <row r="725">
      <c r="A725" s="10"/>
      <c r="B725" s="10"/>
      <c r="C725" s="10"/>
      <c r="D725" s="39"/>
    </row>
    <row r="726">
      <c r="A726" s="10"/>
      <c r="B726" s="10"/>
      <c r="C726" s="10"/>
      <c r="D726" s="39"/>
    </row>
    <row r="727">
      <c r="A727" s="10"/>
      <c r="B727" s="10"/>
      <c r="C727" s="10"/>
      <c r="D727" s="39"/>
    </row>
    <row r="728">
      <c r="A728" s="10"/>
      <c r="B728" s="10"/>
      <c r="C728" s="10"/>
      <c r="D728" s="39"/>
    </row>
    <row r="729">
      <c r="A729" s="10"/>
      <c r="B729" s="10"/>
      <c r="C729" s="10"/>
      <c r="D729" s="39"/>
    </row>
    <row r="730">
      <c r="A730" s="10"/>
      <c r="B730" s="10"/>
      <c r="C730" s="10"/>
      <c r="D730" s="39"/>
    </row>
    <row r="731">
      <c r="A731" s="10"/>
      <c r="B731" s="10"/>
      <c r="C731" s="10"/>
      <c r="D731" s="39"/>
    </row>
    <row r="732">
      <c r="A732" s="10"/>
      <c r="B732" s="10"/>
      <c r="C732" s="10"/>
      <c r="D732" s="39"/>
    </row>
    <row r="733">
      <c r="A733" s="10"/>
      <c r="B733" s="10"/>
      <c r="C733" s="10"/>
      <c r="D733" s="39"/>
    </row>
    <row r="734">
      <c r="A734" s="10"/>
      <c r="B734" s="10"/>
      <c r="C734" s="10"/>
      <c r="D734" s="39"/>
    </row>
    <row r="735">
      <c r="A735" s="10"/>
      <c r="B735" s="10"/>
      <c r="C735" s="10"/>
      <c r="D735" s="39"/>
    </row>
    <row r="736">
      <c r="A736" s="10"/>
      <c r="B736" s="10"/>
      <c r="C736" s="10"/>
      <c r="D736" s="39"/>
    </row>
    <row r="737">
      <c r="A737" s="10"/>
      <c r="B737" s="10"/>
      <c r="C737" s="10"/>
      <c r="D737" s="39"/>
    </row>
    <row r="738">
      <c r="A738" s="10"/>
      <c r="B738" s="10"/>
      <c r="C738" s="10"/>
      <c r="D738" s="39"/>
    </row>
    <row r="739">
      <c r="A739" s="10"/>
      <c r="B739" s="10"/>
      <c r="C739" s="10"/>
      <c r="D739" s="39"/>
    </row>
    <row r="740">
      <c r="A740" s="10"/>
      <c r="B740" s="10"/>
      <c r="C740" s="10"/>
      <c r="D740" s="39"/>
    </row>
    <row r="741">
      <c r="A741" s="10"/>
      <c r="B741" s="10"/>
      <c r="C741" s="10"/>
      <c r="D741" s="39"/>
    </row>
    <row r="742">
      <c r="A742" s="10"/>
      <c r="B742" s="10"/>
      <c r="C742" s="10"/>
      <c r="D742" s="39"/>
    </row>
    <row r="743">
      <c r="A743" s="10"/>
      <c r="B743" s="10"/>
      <c r="C743" s="10"/>
      <c r="D743" s="39"/>
    </row>
    <row r="744">
      <c r="A744" s="10"/>
      <c r="B744" s="10"/>
      <c r="C744" s="10"/>
      <c r="D744" s="39"/>
    </row>
    <row r="745">
      <c r="A745" s="10"/>
      <c r="B745" s="10"/>
      <c r="C745" s="10"/>
      <c r="D745" s="39"/>
    </row>
    <row r="746">
      <c r="A746" s="10"/>
      <c r="B746" s="10"/>
      <c r="C746" s="10"/>
      <c r="D746" s="39"/>
    </row>
    <row r="747">
      <c r="A747" s="10"/>
      <c r="B747" s="10"/>
      <c r="C747" s="10"/>
      <c r="D747" s="39"/>
    </row>
    <row r="748">
      <c r="A748" s="10"/>
      <c r="B748" s="10"/>
      <c r="C748" s="10"/>
      <c r="D748" s="39"/>
    </row>
    <row r="749">
      <c r="A749" s="10"/>
      <c r="B749" s="10"/>
      <c r="C749" s="10"/>
      <c r="D749" s="39"/>
    </row>
    <row r="750">
      <c r="A750" s="10"/>
      <c r="B750" s="10"/>
      <c r="C750" s="10"/>
      <c r="D750" s="39"/>
    </row>
    <row r="751">
      <c r="A751" s="10"/>
      <c r="B751" s="10"/>
      <c r="C751" s="10"/>
      <c r="D751" s="39"/>
    </row>
    <row r="752">
      <c r="A752" s="10"/>
      <c r="B752" s="10"/>
      <c r="C752" s="10"/>
      <c r="D752" s="39"/>
    </row>
    <row r="753">
      <c r="A753" s="10"/>
      <c r="B753" s="10"/>
      <c r="C753" s="10"/>
      <c r="D753" s="39"/>
    </row>
    <row r="754">
      <c r="A754" s="10"/>
      <c r="B754" s="10"/>
      <c r="C754" s="10"/>
      <c r="D754" s="39"/>
    </row>
    <row r="755">
      <c r="A755" s="10"/>
      <c r="B755" s="10"/>
      <c r="C755" s="10"/>
      <c r="D755" s="39"/>
    </row>
    <row r="756">
      <c r="A756" s="10"/>
      <c r="B756" s="10"/>
      <c r="C756" s="10"/>
      <c r="D756" s="39"/>
    </row>
    <row r="757">
      <c r="A757" s="10"/>
      <c r="B757" s="10"/>
      <c r="C757" s="10"/>
      <c r="D757" s="39"/>
    </row>
    <row r="758">
      <c r="A758" s="10"/>
      <c r="B758" s="10"/>
      <c r="C758" s="10"/>
      <c r="D758" s="39"/>
    </row>
    <row r="759">
      <c r="A759" s="10"/>
      <c r="B759" s="10"/>
      <c r="C759" s="10"/>
      <c r="D759" s="39"/>
    </row>
    <row r="760">
      <c r="A760" s="10"/>
      <c r="B760" s="10"/>
      <c r="C760" s="10"/>
      <c r="D760" s="39"/>
    </row>
    <row r="761">
      <c r="A761" s="10"/>
      <c r="B761" s="10"/>
      <c r="C761" s="10"/>
      <c r="D761" s="39"/>
    </row>
    <row r="762">
      <c r="A762" s="10"/>
      <c r="B762" s="10"/>
      <c r="C762" s="10"/>
      <c r="D762" s="39"/>
    </row>
    <row r="763">
      <c r="A763" s="10"/>
      <c r="B763" s="10"/>
      <c r="C763" s="10"/>
      <c r="D763" s="39"/>
    </row>
    <row r="764">
      <c r="A764" s="10"/>
      <c r="B764" s="10"/>
      <c r="C764" s="10"/>
      <c r="D764" s="39"/>
    </row>
    <row r="765">
      <c r="A765" s="10"/>
      <c r="B765" s="10"/>
      <c r="C765" s="10"/>
      <c r="D765" s="39"/>
    </row>
    <row r="766">
      <c r="A766" s="10"/>
      <c r="B766" s="10"/>
      <c r="C766" s="10"/>
      <c r="D766" s="39"/>
    </row>
    <row r="767">
      <c r="A767" s="10"/>
      <c r="B767" s="10"/>
      <c r="C767" s="10"/>
      <c r="D767" s="39"/>
    </row>
    <row r="768">
      <c r="A768" s="10"/>
      <c r="B768" s="10"/>
      <c r="C768" s="10"/>
      <c r="D768" s="39"/>
    </row>
    <row r="769">
      <c r="A769" s="10"/>
      <c r="B769" s="10"/>
      <c r="C769" s="10"/>
      <c r="D769" s="39"/>
    </row>
    <row r="770">
      <c r="A770" s="10"/>
      <c r="B770" s="10"/>
      <c r="C770" s="10"/>
      <c r="D770" s="39"/>
    </row>
    <row r="771">
      <c r="A771" s="10"/>
      <c r="B771" s="10"/>
      <c r="C771" s="10"/>
      <c r="D771" s="39"/>
    </row>
    <row r="772">
      <c r="A772" s="10"/>
      <c r="B772" s="10"/>
      <c r="C772" s="10"/>
      <c r="D772" s="39"/>
    </row>
    <row r="773">
      <c r="A773" s="10"/>
      <c r="B773" s="10"/>
      <c r="C773" s="10"/>
      <c r="D773" s="39"/>
    </row>
    <row r="774">
      <c r="A774" s="10"/>
      <c r="B774" s="10"/>
      <c r="C774" s="10"/>
      <c r="D774" s="39"/>
    </row>
    <row r="775">
      <c r="A775" s="10"/>
      <c r="B775" s="10"/>
      <c r="C775" s="10"/>
      <c r="D775" s="39"/>
    </row>
    <row r="776">
      <c r="A776" s="10"/>
      <c r="B776" s="10"/>
      <c r="C776" s="10"/>
      <c r="D776" s="39"/>
    </row>
    <row r="777">
      <c r="A777" s="10"/>
      <c r="B777" s="10"/>
      <c r="C777" s="10"/>
      <c r="D777" s="39"/>
    </row>
    <row r="778">
      <c r="A778" s="10"/>
      <c r="B778" s="10"/>
      <c r="C778" s="10"/>
      <c r="D778" s="39"/>
    </row>
    <row r="779">
      <c r="A779" s="10"/>
      <c r="B779" s="10"/>
      <c r="C779" s="10"/>
      <c r="D779" s="39"/>
    </row>
    <row r="780">
      <c r="A780" s="10"/>
      <c r="B780" s="10"/>
      <c r="C780" s="10"/>
      <c r="D780" s="39"/>
    </row>
    <row r="781">
      <c r="A781" s="10"/>
      <c r="B781" s="10"/>
      <c r="C781" s="10"/>
      <c r="D781" s="39"/>
    </row>
    <row r="782">
      <c r="A782" s="10"/>
      <c r="B782" s="10"/>
      <c r="C782" s="10"/>
      <c r="D782" s="39"/>
    </row>
    <row r="783">
      <c r="A783" s="10"/>
      <c r="B783" s="10"/>
      <c r="C783" s="10"/>
      <c r="D783" s="39"/>
    </row>
    <row r="784">
      <c r="A784" s="10"/>
      <c r="B784" s="10"/>
      <c r="C784" s="10"/>
      <c r="D784" s="39"/>
    </row>
    <row r="785">
      <c r="A785" s="10"/>
      <c r="B785" s="10"/>
      <c r="C785" s="10"/>
      <c r="D785" s="39"/>
    </row>
    <row r="786">
      <c r="A786" s="10"/>
      <c r="B786" s="10"/>
      <c r="C786" s="10"/>
      <c r="D786" s="39"/>
    </row>
    <row r="787">
      <c r="A787" s="10"/>
      <c r="B787" s="10"/>
      <c r="C787" s="10"/>
      <c r="D787" s="39"/>
    </row>
    <row r="788">
      <c r="A788" s="10"/>
      <c r="B788" s="10"/>
      <c r="C788" s="10"/>
      <c r="D788" s="39"/>
    </row>
    <row r="789">
      <c r="A789" s="10"/>
      <c r="B789" s="10"/>
      <c r="C789" s="10"/>
      <c r="D789" s="39"/>
    </row>
    <row r="790">
      <c r="A790" s="10"/>
      <c r="B790" s="10"/>
      <c r="C790" s="10"/>
      <c r="D790" s="39"/>
    </row>
    <row r="791">
      <c r="A791" s="10"/>
      <c r="B791" s="10"/>
      <c r="C791" s="10"/>
      <c r="D791" s="39"/>
    </row>
    <row r="792">
      <c r="A792" s="10"/>
      <c r="B792" s="10"/>
      <c r="C792" s="10"/>
      <c r="D792" s="39"/>
    </row>
    <row r="793">
      <c r="A793" s="10"/>
      <c r="B793" s="10"/>
      <c r="C793" s="10"/>
      <c r="D793" s="39"/>
    </row>
    <row r="794">
      <c r="A794" s="10"/>
      <c r="B794" s="10"/>
      <c r="C794" s="10"/>
      <c r="D794" s="39"/>
    </row>
    <row r="795">
      <c r="A795" s="10"/>
      <c r="B795" s="10"/>
      <c r="C795" s="10"/>
      <c r="D795" s="39"/>
    </row>
    <row r="796">
      <c r="A796" s="10"/>
      <c r="B796" s="10"/>
      <c r="C796" s="10"/>
      <c r="D796" s="39"/>
    </row>
    <row r="797">
      <c r="A797" s="10"/>
      <c r="B797" s="10"/>
      <c r="C797" s="10"/>
      <c r="D797" s="39"/>
    </row>
    <row r="798">
      <c r="A798" s="10"/>
      <c r="B798" s="10"/>
      <c r="C798" s="10"/>
      <c r="D798" s="39"/>
    </row>
    <row r="799">
      <c r="A799" s="10"/>
      <c r="B799" s="10"/>
      <c r="C799" s="10"/>
      <c r="D799" s="39"/>
    </row>
    <row r="800">
      <c r="A800" s="10"/>
      <c r="B800" s="10"/>
      <c r="C800" s="10"/>
      <c r="D800" s="39"/>
    </row>
    <row r="801">
      <c r="A801" s="10"/>
      <c r="B801" s="10"/>
      <c r="C801" s="10"/>
      <c r="D801" s="39"/>
    </row>
    <row r="802">
      <c r="A802" s="10"/>
      <c r="B802" s="10"/>
      <c r="C802" s="10"/>
      <c r="D802" s="39"/>
    </row>
    <row r="803">
      <c r="A803" s="10"/>
      <c r="B803" s="10"/>
      <c r="C803" s="10"/>
      <c r="D803" s="39"/>
    </row>
    <row r="804">
      <c r="A804" s="10"/>
      <c r="B804" s="10"/>
      <c r="C804" s="10"/>
      <c r="D804" s="39"/>
    </row>
    <row r="805">
      <c r="A805" s="10"/>
      <c r="B805" s="10"/>
      <c r="C805" s="10"/>
      <c r="D805" s="39"/>
    </row>
    <row r="806">
      <c r="A806" s="10"/>
      <c r="B806" s="10"/>
      <c r="C806" s="10"/>
      <c r="D806" s="39"/>
    </row>
    <row r="807">
      <c r="A807" s="10"/>
      <c r="B807" s="10"/>
      <c r="C807" s="10"/>
      <c r="D807" s="39"/>
    </row>
    <row r="808">
      <c r="A808" s="10"/>
      <c r="B808" s="10"/>
      <c r="C808" s="10"/>
      <c r="D808" s="39"/>
    </row>
    <row r="809">
      <c r="A809" s="10"/>
      <c r="B809" s="10"/>
      <c r="C809" s="10"/>
      <c r="D809" s="39"/>
    </row>
    <row r="810">
      <c r="A810" s="10"/>
      <c r="B810" s="10"/>
      <c r="C810" s="10"/>
      <c r="D810" s="39"/>
    </row>
    <row r="811">
      <c r="A811" s="10"/>
      <c r="B811" s="10"/>
      <c r="C811" s="10"/>
      <c r="D811" s="39"/>
    </row>
    <row r="812">
      <c r="A812" s="10"/>
      <c r="B812" s="10"/>
      <c r="C812" s="10"/>
      <c r="D812" s="39"/>
    </row>
    <row r="813">
      <c r="A813" s="10"/>
      <c r="B813" s="10"/>
      <c r="C813" s="10"/>
      <c r="D813" s="39"/>
    </row>
    <row r="814">
      <c r="A814" s="10"/>
      <c r="B814" s="10"/>
      <c r="C814" s="10"/>
      <c r="D814" s="39"/>
    </row>
    <row r="815">
      <c r="A815" s="10"/>
      <c r="B815" s="10"/>
      <c r="C815" s="10"/>
      <c r="D815" s="39"/>
    </row>
    <row r="816">
      <c r="A816" s="10"/>
      <c r="B816" s="10"/>
      <c r="C816" s="10"/>
      <c r="D816" s="39"/>
    </row>
    <row r="817">
      <c r="A817" s="10"/>
      <c r="B817" s="10"/>
      <c r="C817" s="10"/>
      <c r="D817" s="39"/>
    </row>
    <row r="818">
      <c r="A818" s="10"/>
      <c r="B818" s="10"/>
      <c r="C818" s="10"/>
      <c r="D818" s="39"/>
    </row>
    <row r="819">
      <c r="A819" s="10"/>
      <c r="B819" s="10"/>
      <c r="C819" s="10"/>
      <c r="D819" s="39"/>
    </row>
    <row r="820">
      <c r="A820" s="10"/>
      <c r="B820" s="10"/>
      <c r="C820" s="10"/>
      <c r="D820" s="39"/>
    </row>
    <row r="821">
      <c r="A821" s="10"/>
      <c r="B821" s="10"/>
      <c r="C821" s="10"/>
      <c r="D821" s="39"/>
    </row>
    <row r="822">
      <c r="A822" s="10"/>
      <c r="B822" s="10"/>
      <c r="C822" s="10"/>
      <c r="D822" s="39"/>
    </row>
    <row r="823">
      <c r="A823" s="10"/>
      <c r="B823" s="10"/>
      <c r="C823" s="10"/>
      <c r="D823" s="39"/>
    </row>
    <row r="824">
      <c r="A824" s="10"/>
      <c r="B824" s="10"/>
      <c r="C824" s="10"/>
      <c r="D824" s="39"/>
    </row>
    <row r="825">
      <c r="A825" s="10"/>
      <c r="B825" s="10"/>
      <c r="C825" s="10"/>
      <c r="D825" s="39"/>
    </row>
    <row r="826">
      <c r="A826" s="10"/>
      <c r="B826" s="10"/>
      <c r="C826" s="10"/>
      <c r="D826" s="39"/>
    </row>
    <row r="827">
      <c r="A827" s="10"/>
      <c r="B827" s="10"/>
      <c r="C827" s="10"/>
      <c r="D827" s="39"/>
    </row>
    <row r="828">
      <c r="A828" s="10"/>
      <c r="B828" s="10"/>
      <c r="C828" s="10"/>
      <c r="D828" s="39"/>
    </row>
    <row r="829">
      <c r="A829" s="10"/>
      <c r="B829" s="10"/>
      <c r="C829" s="10"/>
      <c r="D829" s="39"/>
    </row>
    <row r="830">
      <c r="A830" s="10"/>
      <c r="B830" s="10"/>
      <c r="C830" s="10"/>
      <c r="D830" s="39"/>
    </row>
    <row r="831">
      <c r="A831" s="10"/>
      <c r="B831" s="10"/>
      <c r="C831" s="10"/>
      <c r="D831" s="39"/>
    </row>
    <row r="832">
      <c r="A832" s="10"/>
      <c r="B832" s="10"/>
      <c r="C832" s="10"/>
      <c r="D832" s="39"/>
    </row>
    <row r="833">
      <c r="A833" s="10"/>
      <c r="B833" s="10"/>
      <c r="C833" s="10"/>
      <c r="D833" s="39"/>
    </row>
    <row r="834">
      <c r="A834" s="10"/>
      <c r="B834" s="10"/>
      <c r="C834" s="10"/>
      <c r="D834" s="39"/>
    </row>
    <row r="835">
      <c r="A835" s="10"/>
      <c r="B835" s="10"/>
      <c r="C835" s="10"/>
      <c r="D835" s="39"/>
    </row>
    <row r="836">
      <c r="A836" s="10"/>
      <c r="B836" s="10"/>
      <c r="C836" s="10"/>
      <c r="D836" s="39"/>
    </row>
    <row r="837">
      <c r="A837" s="10"/>
      <c r="B837" s="10"/>
      <c r="C837" s="10"/>
      <c r="D837" s="39"/>
    </row>
    <row r="838">
      <c r="A838" s="10"/>
      <c r="B838" s="10"/>
      <c r="C838" s="10"/>
      <c r="D838" s="39"/>
    </row>
    <row r="839">
      <c r="A839" s="10"/>
      <c r="B839" s="10"/>
      <c r="C839" s="10"/>
      <c r="D839" s="39"/>
    </row>
    <row r="840">
      <c r="A840" s="10"/>
      <c r="B840" s="10"/>
      <c r="C840" s="10"/>
      <c r="D840" s="39"/>
    </row>
    <row r="841">
      <c r="A841" s="10"/>
      <c r="B841" s="10"/>
      <c r="C841" s="10"/>
      <c r="D841" s="39"/>
    </row>
    <row r="842">
      <c r="A842" s="10"/>
      <c r="B842" s="10"/>
      <c r="C842" s="10"/>
      <c r="D842" s="39"/>
    </row>
    <row r="843">
      <c r="A843" s="10"/>
      <c r="B843" s="10"/>
      <c r="C843" s="10"/>
      <c r="D843" s="39"/>
    </row>
    <row r="844">
      <c r="A844" s="10"/>
      <c r="B844" s="10"/>
      <c r="C844" s="10"/>
      <c r="D844" s="39"/>
    </row>
    <row r="845">
      <c r="A845" s="10"/>
      <c r="B845" s="10"/>
      <c r="C845" s="10"/>
      <c r="D845" s="39"/>
    </row>
    <row r="846">
      <c r="A846" s="10"/>
      <c r="B846" s="10"/>
      <c r="C846" s="10"/>
      <c r="D846" s="39"/>
    </row>
    <row r="847">
      <c r="A847" s="10"/>
      <c r="B847" s="10"/>
      <c r="C847" s="10"/>
      <c r="D847" s="39"/>
    </row>
    <row r="848">
      <c r="A848" s="10"/>
      <c r="B848" s="10"/>
      <c r="C848" s="10"/>
      <c r="D848" s="39"/>
    </row>
    <row r="849">
      <c r="A849" s="10"/>
      <c r="B849" s="10"/>
      <c r="C849" s="10"/>
      <c r="D849" s="39"/>
    </row>
    <row r="850">
      <c r="A850" s="10"/>
      <c r="B850" s="10"/>
      <c r="C850" s="10"/>
      <c r="D850" s="39"/>
    </row>
    <row r="851">
      <c r="A851" s="10"/>
      <c r="B851" s="10"/>
      <c r="C851" s="10"/>
      <c r="D851" s="39"/>
    </row>
    <row r="852">
      <c r="A852" s="10"/>
      <c r="B852" s="10"/>
      <c r="C852" s="10"/>
      <c r="D852" s="39"/>
    </row>
    <row r="853">
      <c r="A853" s="10"/>
      <c r="B853" s="10"/>
      <c r="C853" s="10"/>
      <c r="D853" s="39"/>
    </row>
    <row r="854">
      <c r="A854" s="10"/>
      <c r="B854" s="10"/>
      <c r="C854" s="10"/>
      <c r="D854" s="39"/>
    </row>
    <row r="855">
      <c r="A855" s="10"/>
      <c r="B855" s="10"/>
      <c r="C855" s="10"/>
      <c r="D855" s="39"/>
    </row>
    <row r="856">
      <c r="A856" s="10"/>
      <c r="B856" s="10"/>
      <c r="C856" s="10"/>
      <c r="D856" s="39"/>
    </row>
    <row r="857">
      <c r="A857" s="10"/>
      <c r="B857" s="10"/>
      <c r="C857" s="10"/>
      <c r="D857" s="39"/>
    </row>
    <row r="858">
      <c r="A858" s="10"/>
      <c r="B858" s="10"/>
      <c r="C858" s="10"/>
      <c r="D858" s="39"/>
    </row>
    <row r="859">
      <c r="A859" s="10"/>
      <c r="B859" s="10"/>
      <c r="C859" s="10"/>
      <c r="D859" s="39"/>
    </row>
    <row r="860">
      <c r="A860" s="10"/>
      <c r="B860" s="10"/>
      <c r="C860" s="10"/>
      <c r="D860" s="39"/>
    </row>
    <row r="861">
      <c r="A861" s="10"/>
      <c r="B861" s="10"/>
      <c r="C861" s="10"/>
      <c r="D861" s="39"/>
    </row>
    <row r="862">
      <c r="A862" s="10"/>
      <c r="B862" s="10"/>
      <c r="C862" s="10"/>
      <c r="D862" s="39"/>
    </row>
    <row r="863">
      <c r="A863" s="10"/>
      <c r="B863" s="10"/>
      <c r="C863" s="10"/>
      <c r="D863" s="39"/>
    </row>
    <row r="864">
      <c r="A864" s="10"/>
      <c r="B864" s="10"/>
      <c r="C864" s="10"/>
      <c r="D864" s="39"/>
    </row>
    <row r="865">
      <c r="A865" s="10"/>
      <c r="B865" s="10"/>
      <c r="C865" s="10"/>
      <c r="D865" s="39"/>
    </row>
    <row r="866">
      <c r="A866" s="10"/>
      <c r="B866" s="10"/>
      <c r="C866" s="10"/>
      <c r="D866" s="39"/>
    </row>
    <row r="867">
      <c r="A867" s="10"/>
      <c r="B867" s="10"/>
      <c r="C867" s="10"/>
      <c r="D867" s="39"/>
    </row>
    <row r="868">
      <c r="A868" s="10"/>
      <c r="B868" s="10"/>
      <c r="C868" s="10"/>
      <c r="D868" s="39"/>
    </row>
    <row r="869">
      <c r="A869" s="10"/>
      <c r="B869" s="10"/>
      <c r="C869" s="10"/>
      <c r="D869" s="39"/>
    </row>
    <row r="870">
      <c r="A870" s="10"/>
      <c r="B870" s="10"/>
      <c r="C870" s="10"/>
      <c r="D870" s="39"/>
    </row>
    <row r="871">
      <c r="A871" s="10"/>
      <c r="B871" s="10"/>
      <c r="C871" s="10"/>
      <c r="D871" s="39"/>
    </row>
    <row r="872">
      <c r="A872" s="10"/>
      <c r="B872" s="10"/>
      <c r="C872" s="10"/>
      <c r="D872" s="39"/>
    </row>
    <row r="873">
      <c r="A873" s="10"/>
      <c r="B873" s="10"/>
      <c r="C873" s="10"/>
      <c r="D873" s="39"/>
    </row>
    <row r="874">
      <c r="A874" s="10"/>
      <c r="B874" s="10"/>
      <c r="C874" s="10"/>
      <c r="D874" s="39"/>
    </row>
    <row r="875">
      <c r="A875" s="10"/>
      <c r="B875" s="10"/>
      <c r="C875" s="10"/>
      <c r="D875" s="39"/>
    </row>
    <row r="876">
      <c r="A876" s="10"/>
      <c r="B876" s="10"/>
      <c r="C876" s="10"/>
      <c r="D876" s="39"/>
    </row>
    <row r="877">
      <c r="A877" s="10"/>
      <c r="B877" s="10"/>
      <c r="C877" s="10"/>
      <c r="D877" s="39"/>
    </row>
    <row r="878">
      <c r="A878" s="10"/>
      <c r="B878" s="10"/>
      <c r="C878" s="10"/>
      <c r="D878" s="39"/>
    </row>
    <row r="879">
      <c r="A879" s="10"/>
      <c r="B879" s="10"/>
      <c r="C879" s="10"/>
      <c r="D879" s="39"/>
    </row>
    <row r="880">
      <c r="A880" s="10"/>
      <c r="B880" s="10"/>
      <c r="C880" s="10"/>
      <c r="D880" s="39"/>
    </row>
    <row r="881">
      <c r="A881" s="10"/>
      <c r="B881" s="10"/>
      <c r="C881" s="10"/>
      <c r="D881" s="39"/>
    </row>
    <row r="882">
      <c r="A882" s="10"/>
      <c r="B882" s="10"/>
      <c r="C882" s="10"/>
      <c r="D882" s="39"/>
    </row>
    <row r="883">
      <c r="A883" s="10"/>
      <c r="B883" s="10"/>
      <c r="C883" s="10"/>
      <c r="D883" s="39"/>
    </row>
    <row r="884">
      <c r="A884" s="10"/>
      <c r="B884" s="10"/>
      <c r="C884" s="10"/>
      <c r="D884" s="39"/>
    </row>
    <row r="885">
      <c r="A885" s="10"/>
      <c r="B885" s="10"/>
      <c r="C885" s="10"/>
      <c r="D885" s="39"/>
    </row>
    <row r="886">
      <c r="A886" s="10"/>
      <c r="B886" s="10"/>
      <c r="C886" s="10"/>
      <c r="D886" s="39"/>
    </row>
    <row r="887">
      <c r="A887" s="10"/>
      <c r="B887" s="10"/>
      <c r="C887" s="10"/>
      <c r="D887" s="39"/>
    </row>
    <row r="888">
      <c r="A888" s="10"/>
      <c r="B888" s="10"/>
      <c r="C888" s="10"/>
      <c r="D888" s="39"/>
    </row>
    <row r="889">
      <c r="A889" s="10"/>
      <c r="B889" s="10"/>
      <c r="C889" s="10"/>
      <c r="D889" s="39"/>
    </row>
    <row r="890">
      <c r="A890" s="10"/>
      <c r="B890" s="10"/>
      <c r="C890" s="10"/>
      <c r="D890" s="39"/>
    </row>
    <row r="891">
      <c r="A891" s="10"/>
      <c r="B891" s="10"/>
      <c r="C891" s="10"/>
      <c r="D891" s="39"/>
    </row>
    <row r="892">
      <c r="A892" s="10"/>
      <c r="B892" s="10"/>
      <c r="C892" s="10"/>
      <c r="D892" s="39"/>
    </row>
    <row r="893">
      <c r="A893" s="10"/>
      <c r="B893" s="10"/>
      <c r="C893" s="10"/>
      <c r="D893" s="39"/>
    </row>
    <row r="894">
      <c r="A894" s="10"/>
      <c r="B894" s="10"/>
      <c r="C894" s="10"/>
      <c r="D894" s="39"/>
    </row>
    <row r="895">
      <c r="A895" s="10"/>
      <c r="B895" s="10"/>
      <c r="C895" s="10"/>
      <c r="D895" s="39"/>
    </row>
    <row r="896">
      <c r="A896" s="10"/>
      <c r="B896" s="10"/>
      <c r="C896" s="10"/>
      <c r="D896" s="39"/>
    </row>
    <row r="897">
      <c r="A897" s="10"/>
      <c r="B897" s="10"/>
      <c r="C897" s="10"/>
      <c r="D897" s="39"/>
    </row>
    <row r="898">
      <c r="A898" s="10"/>
      <c r="B898" s="10"/>
      <c r="C898" s="10"/>
      <c r="D898" s="39"/>
    </row>
    <row r="899">
      <c r="A899" s="10"/>
      <c r="B899" s="10"/>
      <c r="C899" s="10"/>
      <c r="D899" s="39"/>
    </row>
    <row r="900">
      <c r="A900" s="10"/>
      <c r="B900" s="10"/>
      <c r="C900" s="10"/>
      <c r="D900" s="39"/>
    </row>
    <row r="901">
      <c r="A901" s="10"/>
      <c r="B901" s="10"/>
      <c r="C901" s="10"/>
      <c r="D901" s="39"/>
    </row>
    <row r="902">
      <c r="A902" s="10"/>
      <c r="B902" s="10"/>
      <c r="C902" s="10"/>
      <c r="D902" s="39"/>
    </row>
    <row r="903">
      <c r="A903" s="10"/>
      <c r="B903" s="10"/>
      <c r="C903" s="10"/>
      <c r="D903" s="39"/>
    </row>
    <row r="904">
      <c r="A904" s="10"/>
      <c r="B904" s="10"/>
      <c r="C904" s="10"/>
      <c r="D904" s="39"/>
    </row>
    <row r="905">
      <c r="A905" s="10"/>
      <c r="B905" s="10"/>
      <c r="C905" s="10"/>
      <c r="D905" s="39"/>
    </row>
    <row r="906">
      <c r="A906" s="10"/>
      <c r="B906" s="10"/>
      <c r="C906" s="10"/>
      <c r="D906" s="39"/>
    </row>
    <row r="907">
      <c r="A907" s="10"/>
      <c r="B907" s="10"/>
      <c r="C907" s="10"/>
      <c r="D907" s="39"/>
    </row>
    <row r="908">
      <c r="A908" s="10"/>
      <c r="B908" s="10"/>
      <c r="C908" s="10"/>
      <c r="D908" s="39"/>
    </row>
    <row r="909">
      <c r="A909" s="10"/>
      <c r="B909" s="10"/>
      <c r="C909" s="10"/>
      <c r="D909" s="39"/>
    </row>
    <row r="910">
      <c r="A910" s="10"/>
      <c r="B910" s="10"/>
      <c r="C910" s="10"/>
      <c r="D910" s="39"/>
    </row>
    <row r="911">
      <c r="A911" s="10"/>
      <c r="B911" s="10"/>
      <c r="C911" s="10"/>
      <c r="D911" s="39"/>
    </row>
    <row r="912">
      <c r="A912" s="10"/>
      <c r="B912" s="10"/>
      <c r="C912" s="10"/>
      <c r="D912" s="39"/>
    </row>
    <row r="913">
      <c r="A913" s="10"/>
      <c r="B913" s="10"/>
      <c r="C913" s="10"/>
      <c r="D913" s="39"/>
    </row>
    <row r="914">
      <c r="A914" s="10"/>
      <c r="B914" s="10"/>
      <c r="C914" s="10"/>
      <c r="D914" s="39"/>
    </row>
    <row r="915">
      <c r="A915" s="10"/>
      <c r="B915" s="10"/>
      <c r="C915" s="10"/>
      <c r="D915" s="39"/>
    </row>
    <row r="916">
      <c r="A916" s="10"/>
      <c r="B916" s="10"/>
      <c r="C916" s="10"/>
      <c r="D916" s="39"/>
    </row>
    <row r="917">
      <c r="A917" s="10"/>
      <c r="B917" s="10"/>
      <c r="C917" s="10"/>
      <c r="D917" s="39"/>
    </row>
    <row r="918">
      <c r="A918" s="10"/>
      <c r="B918" s="10"/>
      <c r="C918" s="10"/>
      <c r="D918" s="39"/>
    </row>
    <row r="919">
      <c r="A919" s="10"/>
      <c r="B919" s="10"/>
      <c r="C919" s="10"/>
      <c r="D919" s="39"/>
    </row>
    <row r="920">
      <c r="A920" s="10"/>
      <c r="B920" s="10"/>
      <c r="C920" s="10"/>
      <c r="D920" s="39"/>
    </row>
    <row r="921">
      <c r="A921" s="10"/>
      <c r="B921" s="10"/>
      <c r="C921" s="10"/>
      <c r="D921" s="39"/>
    </row>
    <row r="922">
      <c r="A922" s="10"/>
      <c r="B922" s="10"/>
      <c r="C922" s="10"/>
      <c r="D922" s="39"/>
    </row>
    <row r="923">
      <c r="A923" s="10"/>
      <c r="B923" s="10"/>
      <c r="C923" s="10"/>
      <c r="D923" s="39"/>
    </row>
    <row r="924">
      <c r="A924" s="10"/>
      <c r="B924" s="10"/>
      <c r="C924" s="10"/>
      <c r="D924" s="39"/>
    </row>
    <row r="925">
      <c r="A925" s="10"/>
      <c r="B925" s="10"/>
      <c r="C925" s="10"/>
      <c r="D925" s="39"/>
    </row>
    <row r="926">
      <c r="A926" s="10"/>
      <c r="B926" s="10"/>
      <c r="C926" s="10"/>
      <c r="D926" s="39"/>
    </row>
    <row r="927">
      <c r="A927" s="10"/>
      <c r="B927" s="10"/>
      <c r="C927" s="10"/>
      <c r="D927" s="39"/>
    </row>
    <row r="928">
      <c r="A928" s="10"/>
      <c r="B928" s="10"/>
      <c r="C928" s="10"/>
      <c r="D928" s="39"/>
    </row>
    <row r="929">
      <c r="A929" s="10"/>
      <c r="B929" s="10"/>
      <c r="C929" s="10"/>
      <c r="D929" s="39"/>
    </row>
    <row r="930">
      <c r="A930" s="10"/>
      <c r="B930" s="10"/>
      <c r="C930" s="10"/>
      <c r="D930" s="39"/>
    </row>
    <row r="931">
      <c r="A931" s="10"/>
      <c r="B931" s="10"/>
      <c r="C931" s="10"/>
      <c r="D931" s="39"/>
    </row>
    <row r="932">
      <c r="A932" s="10"/>
      <c r="B932" s="10"/>
      <c r="C932" s="10"/>
      <c r="D932" s="39"/>
    </row>
    <row r="933">
      <c r="A933" s="10"/>
      <c r="B933" s="10"/>
      <c r="C933" s="10"/>
      <c r="D933" s="39"/>
    </row>
    <row r="934">
      <c r="A934" s="10"/>
      <c r="B934" s="10"/>
      <c r="C934" s="10"/>
      <c r="D934" s="39"/>
    </row>
    <row r="935">
      <c r="A935" s="10"/>
      <c r="B935" s="10"/>
      <c r="C935" s="10"/>
      <c r="D935" s="39"/>
    </row>
    <row r="936">
      <c r="A936" s="10"/>
      <c r="B936" s="10"/>
      <c r="C936" s="10"/>
      <c r="D936" s="39"/>
    </row>
    <row r="937">
      <c r="A937" s="10"/>
      <c r="B937" s="10"/>
      <c r="C937" s="10"/>
      <c r="D937" s="39"/>
    </row>
    <row r="938">
      <c r="A938" s="10"/>
      <c r="B938" s="10"/>
      <c r="C938" s="10"/>
      <c r="D938" s="39"/>
    </row>
    <row r="939">
      <c r="A939" s="10"/>
      <c r="B939" s="10"/>
      <c r="C939" s="10"/>
      <c r="D939" s="39"/>
    </row>
    <row r="940">
      <c r="A940" s="10"/>
      <c r="B940" s="10"/>
      <c r="C940" s="10"/>
      <c r="D940" s="39"/>
    </row>
    <row r="941">
      <c r="A941" s="10"/>
      <c r="B941" s="10"/>
      <c r="C941" s="10"/>
      <c r="D941" s="39"/>
    </row>
    <row r="942">
      <c r="A942" s="10"/>
      <c r="B942" s="10"/>
      <c r="C942" s="10"/>
      <c r="D942" s="39"/>
    </row>
    <row r="943">
      <c r="A943" s="10"/>
      <c r="B943" s="10"/>
      <c r="C943" s="10"/>
      <c r="D943" s="39"/>
    </row>
    <row r="944">
      <c r="A944" s="10"/>
      <c r="B944" s="10"/>
      <c r="C944" s="10"/>
      <c r="D944" s="39"/>
    </row>
    <row r="945">
      <c r="A945" s="10"/>
      <c r="B945" s="10"/>
      <c r="C945" s="10"/>
      <c r="D945" s="39"/>
    </row>
    <row r="946">
      <c r="A946" s="10"/>
      <c r="B946" s="10"/>
      <c r="C946" s="10"/>
      <c r="D946" s="39"/>
    </row>
    <row r="947">
      <c r="A947" s="10"/>
      <c r="B947" s="10"/>
      <c r="C947" s="10"/>
      <c r="D947" s="39"/>
    </row>
    <row r="948">
      <c r="A948" s="10"/>
      <c r="B948" s="10"/>
      <c r="C948" s="10"/>
      <c r="D948" s="39"/>
    </row>
    <row r="949">
      <c r="A949" s="10"/>
      <c r="B949" s="10"/>
      <c r="C949" s="10"/>
      <c r="D949" s="39"/>
    </row>
    <row r="950">
      <c r="A950" s="10"/>
      <c r="B950" s="10"/>
      <c r="C950" s="10"/>
      <c r="D950" s="39"/>
    </row>
    <row r="951">
      <c r="A951" s="10"/>
      <c r="B951" s="10"/>
      <c r="C951" s="10"/>
      <c r="D951" s="39"/>
    </row>
    <row r="952">
      <c r="A952" s="10"/>
      <c r="B952" s="10"/>
      <c r="C952" s="10"/>
      <c r="D952" s="39"/>
    </row>
    <row r="953">
      <c r="A953" s="10"/>
      <c r="B953" s="10"/>
      <c r="C953" s="10"/>
      <c r="D953" s="39"/>
    </row>
    <row r="954">
      <c r="A954" s="10"/>
      <c r="B954" s="10"/>
      <c r="C954" s="10"/>
      <c r="D954" s="39"/>
    </row>
    <row r="955">
      <c r="A955" s="10"/>
      <c r="B955" s="10"/>
      <c r="C955" s="10"/>
      <c r="D955" s="39"/>
    </row>
    <row r="956">
      <c r="A956" s="10"/>
      <c r="B956" s="10"/>
      <c r="C956" s="10"/>
      <c r="D956" s="39"/>
    </row>
    <row r="957">
      <c r="A957" s="10"/>
      <c r="B957" s="10"/>
      <c r="C957" s="10"/>
      <c r="D957" s="39"/>
    </row>
    <row r="958">
      <c r="A958" s="10"/>
      <c r="B958" s="10"/>
      <c r="C958" s="10"/>
      <c r="D958" s="39"/>
    </row>
    <row r="959">
      <c r="A959" s="10"/>
      <c r="B959" s="10"/>
      <c r="C959" s="10"/>
      <c r="D959" s="39"/>
    </row>
    <row r="960">
      <c r="A960" s="10"/>
      <c r="B960" s="10"/>
      <c r="C960" s="10"/>
      <c r="D960" s="39"/>
    </row>
    <row r="961">
      <c r="A961" s="10"/>
      <c r="B961" s="10"/>
      <c r="C961" s="10"/>
      <c r="D961" s="39"/>
    </row>
    <row r="962">
      <c r="A962" s="10"/>
      <c r="B962" s="10"/>
      <c r="C962" s="10"/>
      <c r="D962" s="39"/>
    </row>
    <row r="963">
      <c r="A963" s="10"/>
      <c r="B963" s="10"/>
      <c r="C963" s="10"/>
      <c r="D963" s="39"/>
    </row>
    <row r="964">
      <c r="A964" s="10"/>
      <c r="B964" s="10"/>
      <c r="C964" s="10"/>
      <c r="D964" s="39"/>
    </row>
    <row r="965">
      <c r="A965" s="10"/>
      <c r="B965" s="10"/>
      <c r="C965" s="10"/>
      <c r="D965" s="39"/>
    </row>
    <row r="966">
      <c r="A966" s="10"/>
      <c r="B966" s="10"/>
      <c r="C966" s="10"/>
      <c r="D966" s="39"/>
    </row>
    <row r="967">
      <c r="A967" s="10"/>
      <c r="B967" s="10"/>
      <c r="C967" s="10"/>
      <c r="D967" s="39"/>
    </row>
    <row r="968">
      <c r="A968" s="10"/>
      <c r="B968" s="10"/>
      <c r="C968" s="10"/>
      <c r="D968" s="39"/>
    </row>
    <row r="969">
      <c r="A969" s="10"/>
      <c r="B969" s="10"/>
      <c r="C969" s="10"/>
      <c r="D969" s="39"/>
    </row>
    <row r="970">
      <c r="A970" s="10"/>
      <c r="B970" s="10"/>
      <c r="C970" s="10"/>
      <c r="D970" s="39"/>
    </row>
    <row r="971">
      <c r="A971" s="10"/>
      <c r="B971" s="10"/>
      <c r="C971" s="10"/>
      <c r="D971" s="39"/>
    </row>
    <row r="972">
      <c r="A972" s="10"/>
      <c r="B972" s="10"/>
      <c r="C972" s="10"/>
      <c r="D972" s="39"/>
    </row>
    <row r="973">
      <c r="A973" s="10"/>
      <c r="B973" s="10"/>
      <c r="C973" s="10"/>
      <c r="D973" s="39"/>
    </row>
    <row r="974">
      <c r="A974" s="10"/>
      <c r="B974" s="10"/>
      <c r="C974" s="10"/>
      <c r="D974" s="39"/>
    </row>
    <row r="975">
      <c r="A975" s="10"/>
      <c r="B975" s="10"/>
      <c r="C975" s="10"/>
      <c r="D975" s="39"/>
    </row>
    <row r="976">
      <c r="A976" s="10"/>
      <c r="B976" s="10"/>
      <c r="C976" s="10"/>
      <c r="D976" s="39"/>
    </row>
    <row r="977">
      <c r="A977" s="10"/>
      <c r="B977" s="10"/>
      <c r="C977" s="10"/>
      <c r="D977" s="39"/>
    </row>
    <row r="978">
      <c r="A978" s="10"/>
      <c r="B978" s="10"/>
      <c r="C978" s="10"/>
      <c r="D978" s="39"/>
    </row>
    <row r="979">
      <c r="A979" s="10"/>
      <c r="B979" s="10"/>
      <c r="C979" s="10"/>
      <c r="D979" s="39"/>
    </row>
    <row r="980">
      <c r="A980" s="10"/>
      <c r="B980" s="10"/>
      <c r="C980" s="10"/>
      <c r="D980" s="39"/>
    </row>
    <row r="981">
      <c r="A981" s="10"/>
      <c r="B981" s="10"/>
      <c r="C981" s="10"/>
      <c r="D981" s="39"/>
    </row>
    <row r="982">
      <c r="A982" s="10"/>
      <c r="B982" s="10"/>
      <c r="C982" s="10"/>
      <c r="D982" s="39"/>
    </row>
    <row r="983">
      <c r="A983" s="10"/>
      <c r="B983" s="10"/>
      <c r="C983" s="10"/>
      <c r="D983" s="39"/>
    </row>
    <row r="984">
      <c r="A984" s="10"/>
      <c r="B984" s="10"/>
      <c r="C984" s="10"/>
      <c r="D984" s="39"/>
    </row>
    <row r="985">
      <c r="A985" s="10"/>
      <c r="B985" s="10"/>
      <c r="C985" s="10"/>
      <c r="D985" s="39"/>
    </row>
    <row r="986">
      <c r="A986" s="10"/>
      <c r="B986" s="10"/>
      <c r="C986" s="10"/>
      <c r="D986" s="39"/>
    </row>
    <row r="987">
      <c r="A987" s="10"/>
      <c r="B987" s="10"/>
      <c r="C987" s="10"/>
      <c r="D987" s="39"/>
    </row>
    <row r="988">
      <c r="A988" s="10"/>
      <c r="B988" s="10"/>
      <c r="C988" s="10"/>
      <c r="D988" s="39"/>
    </row>
    <row r="989">
      <c r="A989" s="10"/>
      <c r="B989" s="10"/>
      <c r="C989" s="10"/>
      <c r="D989" s="39"/>
    </row>
    <row r="990">
      <c r="A990" s="10"/>
      <c r="B990" s="10"/>
      <c r="C990" s="10"/>
      <c r="D990" s="39"/>
    </row>
    <row r="991">
      <c r="A991" s="10"/>
      <c r="B991" s="10"/>
      <c r="C991" s="10"/>
      <c r="D991" s="39"/>
    </row>
    <row r="992">
      <c r="A992" s="10"/>
      <c r="B992" s="10"/>
      <c r="C992" s="10"/>
      <c r="D992" s="39"/>
    </row>
    <row r="993">
      <c r="A993" s="10"/>
      <c r="B993" s="10"/>
      <c r="C993" s="10"/>
      <c r="D993" s="39"/>
    </row>
    <row r="994">
      <c r="A994" s="10"/>
      <c r="B994" s="10"/>
      <c r="C994" s="10"/>
      <c r="D994" s="39"/>
    </row>
    <row r="995">
      <c r="A995" s="10"/>
      <c r="B995" s="10"/>
      <c r="C995" s="10"/>
      <c r="D995" s="39"/>
    </row>
    <row r="996">
      <c r="A996" s="10"/>
      <c r="B996" s="10"/>
      <c r="C996" s="10"/>
      <c r="D996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8.38"/>
    <col customWidth="1" min="3" max="3" width="12.25"/>
    <col customWidth="1" min="4" max="4" width="6.38"/>
    <col customWidth="1" min="5" max="5" width="5.75"/>
    <col customWidth="1" min="6" max="6" width="12.25"/>
    <col customWidth="1" min="7" max="7" width="5.13"/>
    <col customWidth="1" min="8" max="8" width="6.13"/>
    <col customWidth="1" min="9" max="9" width="7.25"/>
    <col customWidth="1" min="10" max="10" width="5.13"/>
    <col customWidth="1" min="11" max="11" width="10.63"/>
    <col customWidth="1" min="12" max="12" width="11.25"/>
    <col customWidth="1" min="13" max="13" width="9.0"/>
    <col customWidth="1" min="14" max="14" width="20.63"/>
  </cols>
  <sheetData>
    <row r="1">
      <c r="A1" s="3" t="s">
        <v>0</v>
      </c>
      <c r="B1" s="3" t="s">
        <v>6</v>
      </c>
      <c r="C1" s="3" t="s">
        <v>2</v>
      </c>
      <c r="D1" s="3" t="s">
        <v>3</v>
      </c>
      <c r="E1" s="3" t="s">
        <v>8</v>
      </c>
      <c r="F1" s="3" t="s">
        <v>2</v>
      </c>
      <c r="G1" s="3" t="s">
        <v>3</v>
      </c>
      <c r="H1" s="3" t="s">
        <v>10</v>
      </c>
      <c r="I1" s="3" t="s">
        <v>14</v>
      </c>
      <c r="J1" s="9" t="s">
        <v>15</v>
      </c>
      <c r="K1" s="9" t="s">
        <v>18</v>
      </c>
      <c r="L1" s="9" t="s">
        <v>20</v>
      </c>
      <c r="M1" s="3" t="s">
        <v>21</v>
      </c>
      <c r="N1" s="3" t="s">
        <v>22</v>
      </c>
    </row>
    <row r="2">
      <c r="A2" s="13">
        <v>44462.0</v>
      </c>
      <c r="B2" s="15">
        <v>0.4895833333333333</v>
      </c>
      <c r="C2" s="3" t="s">
        <v>23</v>
      </c>
      <c r="D2" s="3" t="s">
        <v>24</v>
      </c>
      <c r="E2" s="15">
        <v>0.6145833333333334</v>
      </c>
      <c r="F2" s="3" t="s">
        <v>37</v>
      </c>
      <c r="G2" s="3" t="s">
        <v>24</v>
      </c>
      <c r="H2" s="3">
        <v>209.4</v>
      </c>
      <c r="I2" s="22">
        <f t="shared" ref="I2:I7" si="1">E2-B2</f>
        <v>0.125</v>
      </c>
      <c r="J2" s="23">
        <v>0.0</v>
      </c>
      <c r="K2" s="26">
        <f t="shared" ref="K2:K7" si="2">I2-J2</f>
        <v>0.125</v>
      </c>
      <c r="L2" s="28">
        <f t="shared" ref="L2:L7" si="3">HOUR(K2)+(MINUTE(K2)/60)</f>
        <v>3</v>
      </c>
      <c r="M2" s="31">
        <f t="shared" ref="M2:M7" si="4">H2/L2</f>
        <v>69.8</v>
      </c>
      <c r="N2" s="32"/>
    </row>
    <row r="3">
      <c r="A3" s="13">
        <v>44463.0</v>
      </c>
      <c r="B3" s="15">
        <v>0.38819444444444445</v>
      </c>
      <c r="C3" s="3" t="s">
        <v>37</v>
      </c>
      <c r="D3" s="3" t="s">
        <v>24</v>
      </c>
      <c r="E3" s="15">
        <v>0.7708333333333334</v>
      </c>
      <c r="F3" s="3" t="s">
        <v>28</v>
      </c>
      <c r="G3" s="3" t="s">
        <v>30</v>
      </c>
      <c r="H3" s="32">
        <f>30761-30503</f>
        <v>258</v>
      </c>
      <c r="I3" s="22">
        <f t="shared" si="1"/>
        <v>0.3826388889</v>
      </c>
      <c r="J3" s="23">
        <v>0.16666666666666666</v>
      </c>
      <c r="K3" s="26">
        <f t="shared" si="2"/>
        <v>0.2159722222</v>
      </c>
      <c r="L3" s="28">
        <f t="shared" si="3"/>
        <v>5.183333333</v>
      </c>
      <c r="M3" s="31">
        <f t="shared" si="4"/>
        <v>49.77491961</v>
      </c>
      <c r="N3" s="3" t="s">
        <v>74</v>
      </c>
    </row>
    <row r="4">
      <c r="A4" s="13">
        <v>44464.0</v>
      </c>
      <c r="B4" s="15">
        <v>0.3020833333333333</v>
      </c>
      <c r="C4" s="3" t="s">
        <v>28</v>
      </c>
      <c r="D4" s="3" t="s">
        <v>30</v>
      </c>
      <c r="E4" s="15">
        <v>0.6354166666666666</v>
      </c>
      <c r="F4" s="3" t="s">
        <v>68</v>
      </c>
      <c r="G4" s="3" t="s">
        <v>34</v>
      </c>
      <c r="H4" s="3">
        <v>485.4</v>
      </c>
      <c r="I4" s="22">
        <f t="shared" si="1"/>
        <v>0.3333333333</v>
      </c>
      <c r="J4" s="23">
        <v>0.0</v>
      </c>
      <c r="K4" s="26">
        <f t="shared" si="2"/>
        <v>0.3333333333</v>
      </c>
      <c r="L4" s="28">
        <f t="shared" si="3"/>
        <v>8</v>
      </c>
      <c r="M4" s="31">
        <f t="shared" si="4"/>
        <v>60.675</v>
      </c>
      <c r="N4" s="32"/>
    </row>
    <row r="5">
      <c r="A5" s="13">
        <v>44465.0</v>
      </c>
      <c r="B5" s="15">
        <v>0.3458333333333333</v>
      </c>
      <c r="C5" s="3" t="s">
        <v>68</v>
      </c>
      <c r="D5" s="3" t="s">
        <v>34</v>
      </c>
      <c r="E5" s="15">
        <v>0.6194444444444445</v>
      </c>
      <c r="F5" s="3" t="s">
        <v>36</v>
      </c>
      <c r="G5" s="3" t="s">
        <v>34</v>
      </c>
      <c r="H5" s="3">
        <v>249.0</v>
      </c>
      <c r="I5" s="22">
        <f t="shared" si="1"/>
        <v>0.2736111111</v>
      </c>
      <c r="J5" s="23">
        <v>0.0625</v>
      </c>
      <c r="K5" s="26">
        <f t="shared" si="2"/>
        <v>0.2111111111</v>
      </c>
      <c r="L5" s="28">
        <f t="shared" si="3"/>
        <v>5.066666667</v>
      </c>
      <c r="M5" s="31">
        <f t="shared" si="4"/>
        <v>49.14473684</v>
      </c>
      <c r="N5" s="3" t="s">
        <v>83</v>
      </c>
      <c r="P5" s="38">
        <f>sum(H2:H7)</f>
        <v>1986.8</v>
      </c>
    </row>
    <row r="6">
      <c r="A6" s="13">
        <v>44466.0</v>
      </c>
      <c r="B6" s="15">
        <v>0.2965277777777778</v>
      </c>
      <c r="C6" s="3" t="s">
        <v>36</v>
      </c>
      <c r="D6" s="3" t="s">
        <v>34</v>
      </c>
      <c r="E6" s="15">
        <v>0.575</v>
      </c>
      <c r="F6" s="3" t="s">
        <v>40</v>
      </c>
      <c r="G6" s="3" t="s">
        <v>39</v>
      </c>
      <c r="H6" s="3">
        <v>386.0</v>
      </c>
      <c r="I6" s="22">
        <f t="shared" si="1"/>
        <v>0.2784722222</v>
      </c>
      <c r="J6" s="23">
        <v>0.0</v>
      </c>
      <c r="K6" s="26">
        <f t="shared" si="2"/>
        <v>0.2784722222</v>
      </c>
      <c r="L6" s="28">
        <f t="shared" si="3"/>
        <v>6.683333333</v>
      </c>
      <c r="M6" s="31">
        <f t="shared" si="4"/>
        <v>57.75561097</v>
      </c>
      <c r="N6" s="32"/>
    </row>
    <row r="7">
      <c r="A7" s="13">
        <v>44467.0</v>
      </c>
      <c r="B7" s="15">
        <v>0.30416666666666664</v>
      </c>
      <c r="C7" s="3" t="s">
        <v>40</v>
      </c>
      <c r="D7" s="3" t="s">
        <v>39</v>
      </c>
      <c r="E7" s="15">
        <v>0.5888888888888889</v>
      </c>
      <c r="F7" s="3" t="s">
        <v>46</v>
      </c>
      <c r="G7" s="3" t="s">
        <v>44</v>
      </c>
      <c r="H7" s="32">
        <f>32303-31904</f>
        <v>399</v>
      </c>
      <c r="I7" s="22">
        <f t="shared" si="1"/>
        <v>0.2847222222</v>
      </c>
      <c r="J7" s="23">
        <v>0.0</v>
      </c>
      <c r="K7" s="26">
        <f t="shared" si="2"/>
        <v>0.2847222222</v>
      </c>
      <c r="L7" s="28">
        <f t="shared" si="3"/>
        <v>6.833333333</v>
      </c>
      <c r="M7" s="31">
        <f t="shared" si="4"/>
        <v>58.3902439</v>
      </c>
      <c r="N7" s="32"/>
    </row>
    <row r="8">
      <c r="A8" s="32"/>
      <c r="B8" s="3" t="s">
        <v>93</v>
      </c>
      <c r="C8" s="32"/>
      <c r="D8" s="32"/>
      <c r="E8" s="3" t="s">
        <v>94</v>
      </c>
      <c r="F8" s="32"/>
      <c r="G8" s="32"/>
      <c r="H8" s="3" t="s">
        <v>10</v>
      </c>
      <c r="I8" s="32"/>
      <c r="J8" s="40"/>
      <c r="K8" s="9" t="s">
        <v>95</v>
      </c>
      <c r="L8" s="40"/>
      <c r="M8" s="3" t="s">
        <v>96</v>
      </c>
      <c r="N8" s="32"/>
    </row>
    <row r="9">
      <c r="A9" s="3" t="s">
        <v>92</v>
      </c>
      <c r="B9" s="22">
        <f>average(B3:B7)</f>
        <v>0.3273611111</v>
      </c>
      <c r="C9" s="32"/>
      <c r="D9" s="32"/>
      <c r="E9" s="22">
        <f>average(E3:E7)</f>
        <v>0.6379166667</v>
      </c>
      <c r="F9" s="22">
        <f>E9-B9</f>
        <v>0.3105555556</v>
      </c>
      <c r="G9" s="3" t="s">
        <v>92</v>
      </c>
      <c r="H9" s="31">
        <f>average(H3:H7)</f>
        <v>355.48</v>
      </c>
      <c r="I9" s="32"/>
      <c r="J9" s="9" t="s">
        <v>92</v>
      </c>
      <c r="K9" s="42">
        <f>average(K3:K7)</f>
        <v>0.2647222222</v>
      </c>
      <c r="L9" s="9" t="s">
        <v>92</v>
      </c>
      <c r="M9" s="31">
        <f>average(M2:M7)</f>
        <v>57.59008522</v>
      </c>
      <c r="N9" s="32"/>
    </row>
    <row r="10">
      <c r="A10" s="3" t="s">
        <v>111</v>
      </c>
      <c r="B10" s="22">
        <f>min(B3:B7)</f>
        <v>0.2965277778</v>
      </c>
      <c r="C10" s="32"/>
      <c r="D10" s="32"/>
      <c r="E10" s="22">
        <f>min(E3:E7)</f>
        <v>0.575</v>
      </c>
      <c r="F10" s="32"/>
      <c r="G10" s="3" t="s">
        <v>113</v>
      </c>
      <c r="H10" s="31">
        <f>min(H3:H7)</f>
        <v>249</v>
      </c>
      <c r="I10" s="32"/>
      <c r="J10" s="9" t="s">
        <v>113</v>
      </c>
      <c r="K10" s="42">
        <f>min(K3:K7)</f>
        <v>0.2111111111</v>
      </c>
      <c r="L10" s="40"/>
      <c r="M10" s="32"/>
      <c r="N10" s="32"/>
    </row>
    <row r="11">
      <c r="A11" s="3" t="s">
        <v>115</v>
      </c>
      <c r="B11" s="22">
        <f>max(B3:B7)</f>
        <v>0.3881944444</v>
      </c>
      <c r="C11" s="32"/>
      <c r="D11" s="32"/>
      <c r="E11" s="22">
        <f>max(E3:E7)</f>
        <v>0.7708333333</v>
      </c>
      <c r="F11" s="32"/>
      <c r="G11" s="3" t="s">
        <v>117</v>
      </c>
      <c r="H11" s="31">
        <f>max(H3:H7)</f>
        <v>485.4</v>
      </c>
      <c r="I11" s="32"/>
      <c r="J11" s="9" t="s">
        <v>117</v>
      </c>
      <c r="K11" s="42">
        <f>max(K3:K7)</f>
        <v>0.3333333333</v>
      </c>
      <c r="L11" s="40"/>
      <c r="M11" s="32"/>
      <c r="N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40"/>
      <c r="K12" s="40"/>
      <c r="L12" s="40"/>
      <c r="M12" s="32"/>
      <c r="N12" s="32"/>
    </row>
    <row r="13">
      <c r="A13" s="32" t="str">
        <f t="shared" ref="A13:M13" si="5">A1</f>
        <v>Date</v>
      </c>
      <c r="B13" s="32" t="str">
        <f t="shared" si="5"/>
        <v>LV</v>
      </c>
      <c r="C13" s="32" t="str">
        <f t="shared" si="5"/>
        <v>City</v>
      </c>
      <c r="D13" s="32" t="str">
        <f t="shared" si="5"/>
        <v>State</v>
      </c>
      <c r="E13" s="32" t="str">
        <f t="shared" si="5"/>
        <v>AR</v>
      </c>
      <c r="F13" s="32" t="str">
        <f t="shared" si="5"/>
        <v>City</v>
      </c>
      <c r="G13" s="32" t="str">
        <f t="shared" si="5"/>
        <v>State</v>
      </c>
      <c r="H13" s="32" t="str">
        <f t="shared" si="5"/>
        <v>Miles</v>
      </c>
      <c r="I13" s="32" t="str">
        <f t="shared" si="5"/>
        <v>Duration</v>
      </c>
      <c r="J13" s="32" t="str">
        <f t="shared" si="5"/>
        <v>Stop</v>
      </c>
      <c r="K13" s="32" t="str">
        <f t="shared" si="5"/>
        <v>Adj_Duration</v>
      </c>
      <c r="L13" s="32" t="str">
        <f t="shared" si="5"/>
        <v>Dec_Duration</v>
      </c>
      <c r="M13" s="32" t="str">
        <f t="shared" si="5"/>
        <v>Miles/Hour</v>
      </c>
      <c r="N13" s="32"/>
    </row>
    <row r="14">
      <c r="A14" s="43">
        <v>44484.0</v>
      </c>
      <c r="B14" s="15">
        <v>0.3819444444444444</v>
      </c>
      <c r="C14" s="3" t="s">
        <v>46</v>
      </c>
      <c r="D14" s="3" t="s">
        <v>44</v>
      </c>
      <c r="E14" s="15">
        <v>0.7256944444444444</v>
      </c>
      <c r="F14" s="3" t="s">
        <v>119</v>
      </c>
      <c r="G14" s="3" t="s">
        <v>51</v>
      </c>
      <c r="H14" s="3">
        <v>338.9</v>
      </c>
      <c r="I14" s="22">
        <f t="shared" ref="I14:I19" si="6">E14-B14</f>
        <v>0.34375</v>
      </c>
      <c r="J14" s="15">
        <v>0.0</v>
      </c>
      <c r="K14" s="26">
        <f t="shared" ref="K14:K19" si="7">I14-J14</f>
        <v>0.34375</v>
      </c>
      <c r="L14" s="28">
        <f t="shared" ref="L14:L19" si="8">HOUR(K14)+(MINUTE(K14)/60)</f>
        <v>8.25</v>
      </c>
      <c r="M14" s="31">
        <f t="shared" ref="M14:M19" si="9">H14/L14</f>
        <v>41.07878788</v>
      </c>
      <c r="N14" s="32"/>
    </row>
    <row r="15">
      <c r="A15" s="43">
        <v>44485.0</v>
      </c>
      <c r="B15" s="15">
        <v>0.30694444444444446</v>
      </c>
      <c r="C15" s="3" t="s">
        <v>119</v>
      </c>
      <c r="D15" s="3" t="s">
        <v>51</v>
      </c>
      <c r="E15" s="15">
        <v>0.6875</v>
      </c>
      <c r="F15" s="3" t="s">
        <v>53</v>
      </c>
      <c r="G15" s="3" t="s">
        <v>54</v>
      </c>
      <c r="H15" s="3">
        <v>464.3</v>
      </c>
      <c r="I15" s="22">
        <f t="shared" si="6"/>
        <v>0.3805555556</v>
      </c>
      <c r="J15" s="15">
        <v>0.0</v>
      </c>
      <c r="K15" s="26">
        <f t="shared" si="7"/>
        <v>0.3805555556</v>
      </c>
      <c r="L15" s="28">
        <f t="shared" si="8"/>
        <v>9.133333333</v>
      </c>
      <c r="M15" s="31">
        <f t="shared" si="9"/>
        <v>50.83576642</v>
      </c>
      <c r="N15" s="32"/>
    </row>
    <row r="16">
      <c r="A16" s="43">
        <v>44486.0</v>
      </c>
      <c r="B16" s="15">
        <v>0.3215277777777778</v>
      </c>
      <c r="C16" s="3" t="s">
        <v>53</v>
      </c>
      <c r="D16" s="3" t="s">
        <v>54</v>
      </c>
      <c r="E16" s="15">
        <v>0.6048611111111111</v>
      </c>
      <c r="F16" s="3" t="s">
        <v>57</v>
      </c>
      <c r="G16" s="3" t="s">
        <v>34</v>
      </c>
      <c r="H16" s="3">
        <v>380.3</v>
      </c>
      <c r="I16" s="22">
        <f t="shared" si="6"/>
        <v>0.2833333333</v>
      </c>
      <c r="J16" s="15">
        <v>0.0</v>
      </c>
      <c r="K16" s="26">
        <f t="shared" si="7"/>
        <v>0.2833333333</v>
      </c>
      <c r="L16" s="28">
        <f t="shared" si="8"/>
        <v>6.8</v>
      </c>
      <c r="M16" s="31">
        <f t="shared" si="9"/>
        <v>55.92647059</v>
      </c>
      <c r="N16" s="32"/>
    </row>
    <row r="17">
      <c r="A17" s="43">
        <v>44487.0</v>
      </c>
      <c r="B17" s="15">
        <v>0.27569444444444446</v>
      </c>
      <c r="C17" s="3" t="s">
        <v>57</v>
      </c>
      <c r="D17" s="3" t="s">
        <v>34</v>
      </c>
      <c r="E17" s="15">
        <v>0.6368055555555555</v>
      </c>
      <c r="F17" s="3" t="s">
        <v>60</v>
      </c>
      <c r="G17" s="3" t="s">
        <v>30</v>
      </c>
      <c r="H17" s="3">
        <v>391.2</v>
      </c>
      <c r="I17" s="22">
        <f t="shared" si="6"/>
        <v>0.3611111111</v>
      </c>
      <c r="J17" s="15">
        <v>0.0</v>
      </c>
      <c r="K17" s="26">
        <f t="shared" si="7"/>
        <v>0.3611111111</v>
      </c>
      <c r="L17" s="28">
        <f t="shared" si="8"/>
        <v>8.666666667</v>
      </c>
      <c r="M17" s="31">
        <f t="shared" si="9"/>
        <v>45.13846154</v>
      </c>
      <c r="N17" s="32"/>
    </row>
    <row r="18">
      <c r="A18" s="43">
        <v>44488.0</v>
      </c>
      <c r="B18" s="15">
        <v>0.34652777777777777</v>
      </c>
      <c r="C18" s="3" t="s">
        <v>60</v>
      </c>
      <c r="D18" s="3" t="s">
        <v>30</v>
      </c>
      <c r="E18" s="15">
        <v>0.5833333333333334</v>
      </c>
      <c r="F18" s="3" t="s">
        <v>62</v>
      </c>
      <c r="G18" s="3" t="s">
        <v>63</v>
      </c>
      <c r="H18" s="3">
        <v>304.6</v>
      </c>
      <c r="I18" s="22">
        <f t="shared" si="6"/>
        <v>0.2368055556</v>
      </c>
      <c r="J18" s="15">
        <v>0.0</v>
      </c>
      <c r="K18" s="26">
        <f t="shared" si="7"/>
        <v>0.2368055556</v>
      </c>
      <c r="L18" s="28">
        <f t="shared" si="8"/>
        <v>5.683333333</v>
      </c>
      <c r="M18" s="31">
        <f t="shared" si="9"/>
        <v>53.59530792</v>
      </c>
      <c r="N18" s="32"/>
    </row>
    <row r="19">
      <c r="A19" s="43">
        <v>44489.0</v>
      </c>
      <c r="B19" s="15">
        <v>0.35833333333333334</v>
      </c>
      <c r="C19" s="3" t="s">
        <v>62</v>
      </c>
      <c r="D19" s="3" t="s">
        <v>63</v>
      </c>
      <c r="E19" s="15">
        <v>0.6118055555555556</v>
      </c>
      <c r="F19" s="3" t="s">
        <v>65</v>
      </c>
      <c r="G19" s="3" t="s">
        <v>66</v>
      </c>
      <c r="H19" s="3">
        <v>317.8</v>
      </c>
      <c r="I19" s="22">
        <f t="shared" si="6"/>
        <v>0.2534722222</v>
      </c>
      <c r="J19" s="15">
        <v>0.0</v>
      </c>
      <c r="K19" s="26">
        <f t="shared" si="7"/>
        <v>0.2534722222</v>
      </c>
      <c r="L19" s="28">
        <f t="shared" si="8"/>
        <v>6.083333333</v>
      </c>
      <c r="M19" s="31">
        <f t="shared" si="9"/>
        <v>52.24109589</v>
      </c>
      <c r="N19" s="32"/>
      <c r="O19" s="44" t="s">
        <v>122</v>
      </c>
    </row>
    <row r="20">
      <c r="A20" s="32"/>
      <c r="B20" s="3" t="s">
        <v>93</v>
      </c>
      <c r="C20" s="32"/>
      <c r="D20" s="32"/>
      <c r="E20" s="3" t="s">
        <v>94</v>
      </c>
      <c r="F20" s="32"/>
      <c r="G20" s="32"/>
      <c r="H20" s="3" t="s">
        <v>10</v>
      </c>
      <c r="I20" s="32"/>
      <c r="J20" s="40"/>
      <c r="K20" s="9" t="s">
        <v>95</v>
      </c>
      <c r="L20" s="40"/>
      <c r="M20" s="3" t="s">
        <v>96</v>
      </c>
      <c r="N20" s="32"/>
    </row>
    <row r="21">
      <c r="A21" s="3" t="s">
        <v>92</v>
      </c>
      <c r="B21" s="15">
        <f>average(B14:B19)</f>
        <v>0.3318287037</v>
      </c>
      <c r="C21" s="3"/>
      <c r="D21" s="3"/>
      <c r="E21" s="15">
        <f>average(E14:E19)</f>
        <v>0.6416666667</v>
      </c>
      <c r="F21" s="3"/>
      <c r="G21" s="3" t="s">
        <v>92</v>
      </c>
      <c r="H21" s="45">
        <f>average(H14:H19)</f>
        <v>366.1833333</v>
      </c>
      <c r="I21" s="3"/>
      <c r="J21" s="3"/>
      <c r="K21" s="46">
        <f>average(K14:K19)</f>
        <v>0.309837963</v>
      </c>
      <c r="L21" s="9" t="s">
        <v>92</v>
      </c>
      <c r="M21" s="31">
        <f>average(M14:M19)</f>
        <v>49.80264837</v>
      </c>
      <c r="N21" s="32"/>
    </row>
    <row r="22">
      <c r="A22" s="3" t="s">
        <v>111</v>
      </c>
      <c r="B22" s="15">
        <f>MIN(B14:B19)</f>
        <v>0.2756944444</v>
      </c>
      <c r="C22" s="3"/>
      <c r="D22" s="3"/>
      <c r="E22" s="15">
        <f>MIN(E14:E19)</f>
        <v>0.5833333333</v>
      </c>
      <c r="F22" s="3"/>
      <c r="G22" s="3" t="s">
        <v>113</v>
      </c>
      <c r="H22" s="45">
        <f>MIN(H14:H19)</f>
        <v>304.6</v>
      </c>
      <c r="I22" s="3"/>
      <c r="J22" s="3"/>
      <c r="K22" s="46">
        <f>MIN(K14:K19)</f>
        <v>0.2368055556</v>
      </c>
      <c r="L22" s="40"/>
      <c r="M22" s="32"/>
      <c r="N22" s="32"/>
    </row>
    <row r="23">
      <c r="A23" s="3" t="s">
        <v>115</v>
      </c>
      <c r="B23" s="15">
        <f>MAX(B14:B19)</f>
        <v>0.3819444444</v>
      </c>
      <c r="C23" s="3"/>
      <c r="D23" s="3"/>
      <c r="E23" s="15">
        <f>MAX(E14:E19)</f>
        <v>0.7256944444</v>
      </c>
      <c r="F23" s="3"/>
      <c r="G23" s="3" t="s">
        <v>117</v>
      </c>
      <c r="H23" s="45">
        <f>MAX(H14:H19)</f>
        <v>464.3</v>
      </c>
      <c r="I23" s="3"/>
      <c r="J23" s="3"/>
      <c r="K23" s="46">
        <f>MAX(K14:K19)</f>
        <v>0.3805555556</v>
      </c>
      <c r="L23" s="40"/>
      <c r="M23" s="32"/>
      <c r="N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40"/>
      <c r="K24" s="40"/>
      <c r="L24" s="40"/>
      <c r="M24" s="32"/>
      <c r="N24" s="32"/>
    </row>
    <row r="25">
      <c r="A25" s="32" t="str">
        <f t="shared" ref="A25:M25" si="10">A1</f>
        <v>Date</v>
      </c>
      <c r="B25" s="32" t="str">
        <f t="shared" si="10"/>
        <v>LV</v>
      </c>
      <c r="C25" s="32" t="str">
        <f t="shared" si="10"/>
        <v>City</v>
      </c>
      <c r="D25" s="32" t="str">
        <f t="shared" si="10"/>
        <v>State</v>
      </c>
      <c r="E25" s="32" t="str">
        <f t="shared" si="10"/>
        <v>AR</v>
      </c>
      <c r="F25" s="32" t="str">
        <f t="shared" si="10"/>
        <v>City</v>
      </c>
      <c r="G25" s="32" t="str">
        <f t="shared" si="10"/>
        <v>State</v>
      </c>
      <c r="H25" s="32" t="str">
        <f t="shared" si="10"/>
        <v>Miles</v>
      </c>
      <c r="I25" s="32" t="str">
        <f t="shared" si="10"/>
        <v>Duration</v>
      </c>
      <c r="J25" s="32" t="str">
        <f t="shared" si="10"/>
        <v>Stop</v>
      </c>
      <c r="K25" s="32" t="str">
        <f t="shared" si="10"/>
        <v>Adj_Duration</v>
      </c>
      <c r="L25" s="32" t="str">
        <f t="shared" si="10"/>
        <v>Dec_Duration</v>
      </c>
      <c r="M25" s="32" t="str">
        <f t="shared" si="10"/>
        <v>Miles/Hour</v>
      </c>
      <c r="N25" s="32"/>
    </row>
    <row r="26">
      <c r="A26" s="43">
        <v>44579.0</v>
      </c>
      <c r="B26" s="15">
        <v>0.46458333333333335</v>
      </c>
      <c r="C26" s="3" t="s">
        <v>65</v>
      </c>
      <c r="D26" s="3" t="s">
        <v>66</v>
      </c>
      <c r="E26" s="15">
        <v>0.6840277777777778</v>
      </c>
      <c r="F26" s="3" t="s">
        <v>71</v>
      </c>
      <c r="G26" s="3" t="s">
        <v>70</v>
      </c>
      <c r="H26" s="3">
        <v>272.0</v>
      </c>
      <c r="I26" s="22">
        <f t="shared" ref="I26:I34" si="11">E26-B26</f>
        <v>0.2194444444</v>
      </c>
      <c r="J26" s="47">
        <v>0.03125</v>
      </c>
      <c r="K26" s="26">
        <f t="shared" ref="K26:K34" si="12">I26-J26</f>
        <v>0.1881944444</v>
      </c>
      <c r="L26" s="28">
        <f t="shared" ref="L26:L34" si="13">HOUR(K26)+(MINUTE(K26)/60)</f>
        <v>4.516666667</v>
      </c>
      <c r="M26" s="31">
        <f t="shared" ref="M26:M34" si="14">H26/L26</f>
        <v>60.22140221</v>
      </c>
      <c r="N26" s="3" t="s">
        <v>129</v>
      </c>
    </row>
    <row r="27">
      <c r="A27" s="43">
        <v>44581.0</v>
      </c>
      <c r="B27" s="15">
        <v>0.32916666666666666</v>
      </c>
      <c r="C27" s="3" t="s">
        <v>71</v>
      </c>
      <c r="D27" s="3" t="s">
        <v>70</v>
      </c>
      <c r="E27" s="15">
        <v>0.8159722222222222</v>
      </c>
      <c r="F27" s="3" t="s">
        <v>130</v>
      </c>
      <c r="G27" s="3" t="s">
        <v>24</v>
      </c>
      <c r="H27" s="3">
        <v>307.3</v>
      </c>
      <c r="I27" s="22">
        <f t="shared" si="11"/>
        <v>0.4868055556</v>
      </c>
      <c r="J27" s="47">
        <v>0.25</v>
      </c>
      <c r="K27" s="26">
        <f t="shared" si="12"/>
        <v>0.2368055556</v>
      </c>
      <c r="L27" s="28">
        <f t="shared" si="13"/>
        <v>5.683333333</v>
      </c>
      <c r="M27" s="31">
        <f t="shared" si="14"/>
        <v>54.07038123</v>
      </c>
      <c r="N27" s="3" t="s">
        <v>131</v>
      </c>
    </row>
    <row r="28">
      <c r="A28" s="43">
        <v>44582.0</v>
      </c>
      <c r="B28" s="15">
        <v>0.39652777777777776</v>
      </c>
      <c r="C28" s="3" t="s">
        <v>130</v>
      </c>
      <c r="D28" s="3" t="s">
        <v>70</v>
      </c>
      <c r="E28" s="15">
        <v>0.5930555555555556</v>
      </c>
      <c r="F28" s="3" t="s">
        <v>75</v>
      </c>
      <c r="G28" s="3" t="s">
        <v>59</v>
      </c>
      <c r="H28" s="3">
        <v>280.9</v>
      </c>
      <c r="I28" s="22">
        <f t="shared" si="11"/>
        <v>0.1965277778</v>
      </c>
      <c r="J28" s="40"/>
      <c r="K28" s="26">
        <f t="shared" si="12"/>
        <v>0.1965277778</v>
      </c>
      <c r="L28" s="28">
        <f t="shared" si="13"/>
        <v>4.716666667</v>
      </c>
      <c r="M28" s="31">
        <f t="shared" si="14"/>
        <v>59.55477032</v>
      </c>
      <c r="N28" s="32"/>
    </row>
    <row r="29">
      <c r="A29" s="43">
        <v>44583.0</v>
      </c>
      <c r="B29" s="15">
        <v>0.4076388888888889</v>
      </c>
      <c r="C29" s="3" t="s">
        <v>75</v>
      </c>
      <c r="D29" s="3" t="s">
        <v>59</v>
      </c>
      <c r="E29" s="15">
        <v>0.5909722222222222</v>
      </c>
      <c r="F29" s="3" t="s">
        <v>57</v>
      </c>
      <c r="G29" s="3" t="s">
        <v>34</v>
      </c>
      <c r="H29" s="3">
        <v>317.4</v>
      </c>
      <c r="I29" s="22">
        <f t="shared" si="11"/>
        <v>0.1833333333</v>
      </c>
      <c r="J29" s="40"/>
      <c r="K29" s="26">
        <f t="shared" si="12"/>
        <v>0.1833333333</v>
      </c>
      <c r="L29" s="28">
        <f t="shared" si="13"/>
        <v>4.4</v>
      </c>
      <c r="M29" s="31">
        <f t="shared" si="14"/>
        <v>72.13636364</v>
      </c>
      <c r="N29" s="32"/>
    </row>
    <row r="30">
      <c r="A30" s="43">
        <v>44584.0</v>
      </c>
      <c r="B30" s="15">
        <v>0.35</v>
      </c>
      <c r="C30" s="3" t="s">
        <v>57</v>
      </c>
      <c r="D30" s="3" t="s">
        <v>34</v>
      </c>
      <c r="E30" s="15">
        <v>0.5944444444444444</v>
      </c>
      <c r="F30" s="3" t="s">
        <v>133</v>
      </c>
      <c r="G30" s="3" t="s">
        <v>54</v>
      </c>
      <c r="H30" s="3">
        <v>294.7</v>
      </c>
      <c r="I30" s="22">
        <f t="shared" si="11"/>
        <v>0.2444444444</v>
      </c>
      <c r="J30" s="40"/>
      <c r="K30" s="26">
        <f t="shared" si="12"/>
        <v>0.2444444444</v>
      </c>
      <c r="L30" s="28">
        <f t="shared" si="13"/>
        <v>5.866666667</v>
      </c>
      <c r="M30" s="31">
        <f t="shared" si="14"/>
        <v>50.23295455</v>
      </c>
      <c r="N30" s="32"/>
      <c r="P30" s="38">
        <f>sum(H26:H34)</f>
        <v>2463.9</v>
      </c>
    </row>
    <row r="31">
      <c r="A31" s="43">
        <v>44585.0</v>
      </c>
      <c r="B31" s="15">
        <v>0.42291666666666666</v>
      </c>
      <c r="C31" s="3" t="s">
        <v>133</v>
      </c>
      <c r="D31" s="3" t="s">
        <v>54</v>
      </c>
      <c r="E31" s="15">
        <v>0.6152777777777778</v>
      </c>
      <c r="F31" s="3" t="s">
        <v>135</v>
      </c>
      <c r="G31" s="3" t="s">
        <v>54</v>
      </c>
      <c r="H31" s="3">
        <v>197.5</v>
      </c>
      <c r="I31" s="22">
        <f t="shared" si="11"/>
        <v>0.1923611111</v>
      </c>
      <c r="J31" s="40"/>
      <c r="K31" s="26">
        <f t="shared" si="12"/>
        <v>0.1923611111</v>
      </c>
      <c r="L31" s="28">
        <f t="shared" si="13"/>
        <v>4.616666667</v>
      </c>
      <c r="M31" s="31">
        <f t="shared" si="14"/>
        <v>42.77978339</v>
      </c>
      <c r="N31" s="32"/>
    </row>
    <row r="32">
      <c r="A32" s="43">
        <v>44586.0</v>
      </c>
      <c r="B32" s="15">
        <v>0.3506944444444444</v>
      </c>
      <c r="C32" s="3" t="s">
        <v>135</v>
      </c>
      <c r="D32" s="3" t="s">
        <v>54</v>
      </c>
      <c r="E32" s="15">
        <v>0.5284722222222222</v>
      </c>
      <c r="F32" s="3" t="s">
        <v>136</v>
      </c>
      <c r="G32" s="3" t="s">
        <v>51</v>
      </c>
      <c r="H32" s="3">
        <v>266.8</v>
      </c>
      <c r="I32" s="22">
        <f t="shared" si="11"/>
        <v>0.1777777778</v>
      </c>
      <c r="J32" s="40"/>
      <c r="K32" s="26">
        <f t="shared" si="12"/>
        <v>0.1777777778</v>
      </c>
      <c r="L32" s="28">
        <f t="shared" si="13"/>
        <v>4.266666667</v>
      </c>
      <c r="M32" s="31">
        <f t="shared" si="14"/>
        <v>62.53125</v>
      </c>
      <c r="N32" s="32"/>
    </row>
    <row r="33">
      <c r="A33" s="43">
        <v>44587.0</v>
      </c>
      <c r="B33" s="15">
        <v>0.4847222222222222</v>
      </c>
      <c r="C33" s="3" t="s">
        <v>136</v>
      </c>
      <c r="D33" s="3" t="s">
        <v>51</v>
      </c>
      <c r="E33" s="15">
        <v>0.6152777777777778</v>
      </c>
      <c r="F33" s="3" t="s">
        <v>119</v>
      </c>
      <c r="G33" s="3" t="s">
        <v>51</v>
      </c>
      <c r="H33" s="3">
        <v>169.8</v>
      </c>
      <c r="I33" s="22">
        <f t="shared" si="11"/>
        <v>0.1305555556</v>
      </c>
      <c r="J33" s="47">
        <v>0.010416666666666666</v>
      </c>
      <c r="K33" s="26">
        <f t="shared" si="12"/>
        <v>0.1201388889</v>
      </c>
      <c r="L33" s="28">
        <f t="shared" si="13"/>
        <v>2.883333333</v>
      </c>
      <c r="M33" s="31">
        <f t="shared" si="14"/>
        <v>58.89017341</v>
      </c>
      <c r="N33" s="3" t="s">
        <v>137</v>
      </c>
    </row>
    <row r="34">
      <c r="A34" s="43">
        <v>44588.0</v>
      </c>
      <c r="B34" s="15">
        <v>0.3659722222222222</v>
      </c>
      <c r="C34" s="3" t="s">
        <v>119</v>
      </c>
      <c r="D34" s="3" t="s">
        <v>51</v>
      </c>
      <c r="E34" s="15">
        <v>0.6569444444444444</v>
      </c>
      <c r="F34" s="3" t="s">
        <v>46</v>
      </c>
      <c r="G34" s="3" t="s">
        <v>44</v>
      </c>
      <c r="H34" s="3">
        <v>357.5</v>
      </c>
      <c r="I34" s="22">
        <f t="shared" si="11"/>
        <v>0.2909722222</v>
      </c>
      <c r="J34" s="40"/>
      <c r="K34" s="26">
        <f t="shared" si="12"/>
        <v>0.2909722222</v>
      </c>
      <c r="L34" s="28">
        <f t="shared" si="13"/>
        <v>6.983333333</v>
      </c>
      <c r="M34" s="31">
        <f t="shared" si="14"/>
        <v>51.19331742</v>
      </c>
      <c r="N34" s="32"/>
    </row>
    <row r="35">
      <c r="J35" s="48"/>
      <c r="K35" s="48"/>
      <c r="L35" s="48"/>
    </row>
    <row r="36">
      <c r="A36" s="38" t="str">
        <f t="shared" ref="A36:M36" si="15">A25</f>
        <v>Date</v>
      </c>
      <c r="B36" s="38" t="str">
        <f t="shared" si="15"/>
        <v>LV</v>
      </c>
      <c r="C36" s="38" t="str">
        <f t="shared" si="15"/>
        <v>City</v>
      </c>
      <c r="D36" s="38" t="str">
        <f t="shared" si="15"/>
        <v>State</v>
      </c>
      <c r="E36" s="38" t="str">
        <f t="shared" si="15"/>
        <v>AR</v>
      </c>
      <c r="F36" s="38" t="str">
        <f t="shared" si="15"/>
        <v>City</v>
      </c>
      <c r="G36" s="38" t="str">
        <f t="shared" si="15"/>
        <v>State</v>
      </c>
      <c r="H36" s="38" t="str">
        <f t="shared" si="15"/>
        <v>Miles</v>
      </c>
      <c r="I36" s="38" t="str">
        <f t="shared" si="15"/>
        <v>Duration</v>
      </c>
      <c r="J36" s="38" t="str">
        <f t="shared" si="15"/>
        <v>Stop</v>
      </c>
      <c r="K36" s="38" t="str">
        <f t="shared" si="15"/>
        <v>Adj_Duration</v>
      </c>
      <c r="L36" s="38" t="str">
        <f t="shared" si="15"/>
        <v>Dec_Duration</v>
      </c>
      <c r="M36" s="38" t="str">
        <f t="shared" si="15"/>
        <v>Miles/Hour</v>
      </c>
    </row>
    <row r="37">
      <c r="A37" s="49">
        <v>44710.0</v>
      </c>
      <c r="B37" s="50">
        <v>0.3888888888888889</v>
      </c>
      <c r="C37" s="51" t="s">
        <v>46</v>
      </c>
      <c r="D37" s="51" t="s">
        <v>44</v>
      </c>
      <c r="E37" s="50">
        <v>0.6708333333333333</v>
      </c>
      <c r="F37" s="51" t="s">
        <v>138</v>
      </c>
      <c r="G37" s="51" t="s">
        <v>44</v>
      </c>
      <c r="H37" s="52">
        <v>391.2</v>
      </c>
      <c r="I37" s="53">
        <f t="shared" ref="I37:I43" si="16">E37-B37</f>
        <v>0.2819444444</v>
      </c>
      <c r="J37" s="48"/>
      <c r="K37" s="54">
        <f t="shared" ref="K37:K43" si="17">I37-J37</f>
        <v>0.2819444444</v>
      </c>
      <c r="L37" s="55">
        <f t="shared" ref="L37:L43" si="18">HOUR(K37)+(MINUTE(K37)/60)</f>
        <v>6.766666667</v>
      </c>
      <c r="M37" s="56">
        <f t="shared" ref="M37:M43" si="19">H37/L37</f>
        <v>57.81280788</v>
      </c>
    </row>
    <row r="38">
      <c r="A38" s="49">
        <v>44711.0</v>
      </c>
      <c r="B38" s="50">
        <v>0.35555555555555557</v>
      </c>
      <c r="C38" s="51" t="s">
        <v>138</v>
      </c>
      <c r="D38" s="51" t="s">
        <v>44</v>
      </c>
      <c r="E38" s="50">
        <v>0.5791666666666667</v>
      </c>
      <c r="F38" s="51" t="s">
        <v>139</v>
      </c>
      <c r="G38" s="51" t="s">
        <v>102</v>
      </c>
      <c r="H38" s="52">
        <v>302.2</v>
      </c>
      <c r="I38" s="53">
        <f t="shared" si="16"/>
        <v>0.2236111111</v>
      </c>
      <c r="J38" s="48"/>
      <c r="K38" s="54">
        <f t="shared" si="17"/>
        <v>0.2236111111</v>
      </c>
      <c r="L38" s="55">
        <f t="shared" si="18"/>
        <v>5.366666667</v>
      </c>
      <c r="M38" s="56">
        <f t="shared" si="19"/>
        <v>56.31055901</v>
      </c>
    </row>
    <row r="39">
      <c r="A39" s="49">
        <v>44712.0</v>
      </c>
      <c r="B39" s="50">
        <v>0.38263888888888886</v>
      </c>
      <c r="C39" s="51" t="s">
        <v>139</v>
      </c>
      <c r="D39" s="51" t="s">
        <v>102</v>
      </c>
      <c r="E39" s="50">
        <v>0.5027777777777778</v>
      </c>
      <c r="F39" s="51" t="s">
        <v>140</v>
      </c>
      <c r="G39" s="51" t="s">
        <v>102</v>
      </c>
      <c r="H39" s="52">
        <v>163.0</v>
      </c>
      <c r="I39" s="53">
        <f t="shared" si="16"/>
        <v>0.1201388889</v>
      </c>
      <c r="J39" s="48"/>
      <c r="K39" s="54">
        <f t="shared" si="17"/>
        <v>0.1201388889</v>
      </c>
      <c r="L39" s="55">
        <f t="shared" si="18"/>
        <v>2.883333333</v>
      </c>
      <c r="M39" s="56">
        <f t="shared" si="19"/>
        <v>56.53179191</v>
      </c>
    </row>
    <row r="40">
      <c r="A40" s="49">
        <v>44723.0</v>
      </c>
      <c r="B40" s="50">
        <v>0.35694444444444445</v>
      </c>
      <c r="C40" s="51" t="s">
        <v>103</v>
      </c>
      <c r="D40" s="51" t="s">
        <v>102</v>
      </c>
      <c r="E40" s="50">
        <v>0.6020833333333333</v>
      </c>
      <c r="F40" s="51" t="s">
        <v>105</v>
      </c>
      <c r="G40" s="51" t="s">
        <v>44</v>
      </c>
      <c r="H40" s="52">
        <v>252.0</v>
      </c>
      <c r="I40" s="53">
        <f t="shared" si="16"/>
        <v>0.2451388889</v>
      </c>
      <c r="J40" s="48"/>
      <c r="K40" s="54">
        <f t="shared" si="17"/>
        <v>0.2451388889</v>
      </c>
      <c r="L40" s="55">
        <f t="shared" si="18"/>
        <v>5.883333333</v>
      </c>
      <c r="M40" s="56">
        <f t="shared" si="19"/>
        <v>42.83286119</v>
      </c>
      <c r="O40" s="52">
        <f>sum(H37:H43)</f>
        <v>1942.7</v>
      </c>
    </row>
    <row r="41">
      <c r="A41" s="49">
        <v>44724.0</v>
      </c>
      <c r="B41" s="50">
        <v>0.34930555555555554</v>
      </c>
      <c r="C41" s="51" t="s">
        <v>105</v>
      </c>
      <c r="D41" s="51" t="s">
        <v>44</v>
      </c>
      <c r="E41" s="50">
        <v>0.7277777777777777</v>
      </c>
      <c r="F41" s="51" t="s">
        <v>107</v>
      </c>
      <c r="G41" s="51" t="s">
        <v>44</v>
      </c>
      <c r="H41" s="52">
        <v>304.0</v>
      </c>
      <c r="I41" s="53">
        <f t="shared" si="16"/>
        <v>0.3784722222</v>
      </c>
      <c r="J41" s="57">
        <v>0.041666666666666664</v>
      </c>
      <c r="K41" s="54">
        <f t="shared" si="17"/>
        <v>0.3368055556</v>
      </c>
      <c r="L41" s="55">
        <f t="shared" si="18"/>
        <v>8.083333333</v>
      </c>
      <c r="M41" s="56">
        <f t="shared" si="19"/>
        <v>37.60824742</v>
      </c>
      <c r="N41" s="51" t="s">
        <v>141</v>
      </c>
    </row>
    <row r="42">
      <c r="A42" s="49">
        <v>44725.0</v>
      </c>
      <c r="B42" s="50">
        <v>0.38958333333333334</v>
      </c>
      <c r="C42" s="51" t="s">
        <v>107</v>
      </c>
      <c r="D42" s="51" t="s">
        <v>44</v>
      </c>
      <c r="E42" s="50">
        <v>0.7444444444444445</v>
      </c>
      <c r="F42" s="51" t="s">
        <v>142</v>
      </c>
      <c r="G42" s="51" t="s">
        <v>44</v>
      </c>
      <c r="H42" s="52">
        <v>304.4</v>
      </c>
      <c r="I42" s="53">
        <f t="shared" si="16"/>
        <v>0.3548611111</v>
      </c>
      <c r="J42" s="48"/>
      <c r="K42" s="54">
        <f t="shared" si="17"/>
        <v>0.3548611111</v>
      </c>
      <c r="L42" s="55">
        <f t="shared" si="18"/>
        <v>8.516666667</v>
      </c>
      <c r="M42" s="56">
        <f t="shared" si="19"/>
        <v>35.74168297</v>
      </c>
    </row>
    <row r="43">
      <c r="A43" s="49">
        <v>44726.0</v>
      </c>
      <c r="B43" s="50">
        <v>0.38958333333333334</v>
      </c>
      <c r="C43" s="51" t="s">
        <v>142</v>
      </c>
      <c r="D43" s="51" t="s">
        <v>44</v>
      </c>
      <c r="E43" s="50">
        <v>0.6208333333333333</v>
      </c>
      <c r="F43" s="51" t="s">
        <v>46</v>
      </c>
      <c r="G43" s="51" t="s">
        <v>44</v>
      </c>
      <c r="H43" s="52">
        <v>225.9</v>
      </c>
      <c r="I43" s="53">
        <f t="shared" si="16"/>
        <v>0.23125</v>
      </c>
      <c r="J43" s="48"/>
      <c r="K43" s="54">
        <f t="shared" si="17"/>
        <v>0.23125</v>
      </c>
      <c r="L43" s="55">
        <f t="shared" si="18"/>
        <v>5.55</v>
      </c>
      <c r="M43" s="56">
        <f t="shared" si="19"/>
        <v>40.7027027</v>
      </c>
    </row>
    <row r="44">
      <c r="J44" s="48"/>
      <c r="K44" s="48"/>
      <c r="L44" s="48"/>
    </row>
    <row r="45">
      <c r="A45" s="51" t="s">
        <v>143</v>
      </c>
      <c r="H45" s="56">
        <f>SUM(H37:H43)</f>
        <v>1942.7</v>
      </c>
      <c r="J45" s="48"/>
      <c r="K45" s="48"/>
      <c r="L45" s="48"/>
    </row>
    <row r="46">
      <c r="J46" s="48"/>
      <c r="K46" s="48"/>
      <c r="L46" s="48"/>
    </row>
    <row r="47">
      <c r="A47" s="38" t="str">
        <f t="shared" ref="A47:N47" si="20">A36</f>
        <v>Date</v>
      </c>
      <c r="B47" s="38" t="str">
        <f t="shared" si="20"/>
        <v>LV</v>
      </c>
      <c r="C47" s="38" t="str">
        <f t="shared" si="20"/>
        <v>City</v>
      </c>
      <c r="D47" s="38" t="str">
        <f t="shared" si="20"/>
        <v>State</v>
      </c>
      <c r="E47" s="38" t="str">
        <f t="shared" si="20"/>
        <v>AR</v>
      </c>
      <c r="F47" s="38" t="str">
        <f t="shared" si="20"/>
        <v>City</v>
      </c>
      <c r="G47" s="38" t="str">
        <f t="shared" si="20"/>
        <v>State</v>
      </c>
      <c r="H47" s="38" t="str">
        <f t="shared" si="20"/>
        <v>Miles</v>
      </c>
      <c r="I47" s="38" t="str">
        <f t="shared" si="20"/>
        <v>Duration</v>
      </c>
      <c r="J47" s="38" t="str">
        <f t="shared" si="20"/>
        <v>Stop</v>
      </c>
      <c r="K47" s="38" t="str">
        <f t="shared" si="20"/>
        <v>Adj_Duration</v>
      </c>
      <c r="L47" s="38" t="str">
        <f t="shared" si="20"/>
        <v>Dec_Duration</v>
      </c>
      <c r="M47" s="38" t="str">
        <f t="shared" si="20"/>
        <v>Miles/Hour</v>
      </c>
      <c r="N47" s="38" t="str">
        <f t="shared" si="20"/>
        <v/>
      </c>
    </row>
    <row r="48">
      <c r="A48" s="49">
        <v>44866.0</v>
      </c>
      <c r="B48" s="50">
        <v>0.40625</v>
      </c>
      <c r="C48" s="51" t="s">
        <v>46</v>
      </c>
      <c r="D48" s="51" t="s">
        <v>44</v>
      </c>
      <c r="E48" s="50">
        <v>0.6409722222222223</v>
      </c>
      <c r="F48" s="51" t="s">
        <v>142</v>
      </c>
      <c r="G48" s="51" t="s">
        <v>44</v>
      </c>
      <c r="H48" s="51">
        <v>224.9</v>
      </c>
      <c r="I48" s="53">
        <f t="shared" ref="I48:I59" si="21">E48-B48</f>
        <v>0.2347222222</v>
      </c>
      <c r="J48" s="48"/>
      <c r="K48" s="54">
        <f t="shared" ref="K48:K59" si="22">I48-J48</f>
        <v>0.2347222222</v>
      </c>
      <c r="L48" s="55">
        <f t="shared" ref="L48:L59" si="23">HOUR(K48)+(MINUTE(K48)/60)</f>
        <v>5.633333333</v>
      </c>
      <c r="M48" s="56">
        <f t="shared" ref="M48:M59" si="24">H48/L48</f>
        <v>39.92307692</v>
      </c>
    </row>
    <row r="49">
      <c r="A49" s="49">
        <v>44867.0</v>
      </c>
      <c r="B49" s="50">
        <v>0.41180555555555554</v>
      </c>
      <c r="C49" s="51" t="s">
        <v>142</v>
      </c>
      <c r="D49" s="51" t="s">
        <v>44</v>
      </c>
      <c r="E49" s="50">
        <v>0.6791666666666667</v>
      </c>
      <c r="F49" s="51" t="s">
        <v>146</v>
      </c>
      <c r="G49" s="51" t="s">
        <v>44</v>
      </c>
      <c r="H49" s="51">
        <v>296.5</v>
      </c>
      <c r="I49" s="53">
        <f t="shared" si="21"/>
        <v>0.2673611111</v>
      </c>
      <c r="J49" s="48"/>
      <c r="K49" s="54">
        <f t="shared" si="22"/>
        <v>0.2673611111</v>
      </c>
      <c r="L49" s="55">
        <f t="shared" si="23"/>
        <v>6.416666667</v>
      </c>
      <c r="M49" s="56">
        <f t="shared" si="24"/>
        <v>46.20779221</v>
      </c>
    </row>
    <row r="50">
      <c r="A50" s="49">
        <v>44868.0</v>
      </c>
      <c r="B50" s="50">
        <v>0.38125</v>
      </c>
      <c r="C50" s="51" t="s">
        <v>146</v>
      </c>
      <c r="D50" s="51" t="s">
        <v>44</v>
      </c>
      <c r="E50" s="50">
        <v>0.6854166666666667</v>
      </c>
      <c r="F50" s="51" t="s">
        <v>148</v>
      </c>
      <c r="G50" s="51" t="s">
        <v>44</v>
      </c>
      <c r="H50" s="51">
        <v>274.9</v>
      </c>
      <c r="I50" s="53">
        <f t="shared" si="21"/>
        <v>0.3041666667</v>
      </c>
      <c r="J50" s="57">
        <v>0.041666666666666664</v>
      </c>
      <c r="K50" s="54">
        <f t="shared" si="22"/>
        <v>0.2625</v>
      </c>
      <c r="L50" s="55">
        <f t="shared" si="23"/>
        <v>6.3</v>
      </c>
      <c r="M50" s="56">
        <f t="shared" si="24"/>
        <v>43.63492063</v>
      </c>
      <c r="N50" s="51" t="s">
        <v>141</v>
      </c>
    </row>
    <row r="51">
      <c r="A51" s="49">
        <v>44870.0</v>
      </c>
      <c r="B51" s="50">
        <v>0.3888888888888889</v>
      </c>
      <c r="C51" s="51" t="s">
        <v>148</v>
      </c>
      <c r="D51" s="51" t="s">
        <v>44</v>
      </c>
      <c r="E51" s="50">
        <v>0.6104166666666667</v>
      </c>
      <c r="F51" s="51" t="s">
        <v>140</v>
      </c>
      <c r="G51" s="51" t="s">
        <v>102</v>
      </c>
      <c r="H51" s="51">
        <v>259.9</v>
      </c>
      <c r="I51" s="53">
        <f t="shared" si="21"/>
        <v>0.2215277778</v>
      </c>
      <c r="J51" s="48"/>
      <c r="K51" s="54">
        <f t="shared" si="22"/>
        <v>0.2215277778</v>
      </c>
      <c r="L51" s="55">
        <f t="shared" si="23"/>
        <v>5.316666667</v>
      </c>
      <c r="M51" s="56">
        <f t="shared" si="24"/>
        <v>48.88401254</v>
      </c>
    </row>
    <row r="52">
      <c r="A52" s="49">
        <v>44872.0</v>
      </c>
      <c r="B52" s="50">
        <v>0.39166666666666666</v>
      </c>
      <c r="C52" s="51" t="s">
        <v>140</v>
      </c>
      <c r="D52" s="51" t="s">
        <v>102</v>
      </c>
      <c r="E52" s="50">
        <v>0.84375</v>
      </c>
      <c r="F52" s="51" t="s">
        <v>150</v>
      </c>
      <c r="G52" s="51" t="s">
        <v>151</v>
      </c>
      <c r="H52" s="51">
        <v>326.5</v>
      </c>
      <c r="I52" s="53">
        <f t="shared" si="21"/>
        <v>0.4520833333</v>
      </c>
      <c r="J52" s="57">
        <v>0.0625</v>
      </c>
      <c r="K52" s="54">
        <f t="shared" si="22"/>
        <v>0.3895833333</v>
      </c>
      <c r="L52" s="55">
        <f t="shared" si="23"/>
        <v>9.35</v>
      </c>
      <c r="M52" s="56">
        <f t="shared" si="24"/>
        <v>34.9197861</v>
      </c>
      <c r="N52" s="51" t="s">
        <v>152</v>
      </c>
    </row>
    <row r="53">
      <c r="A53" s="49">
        <v>44873.0</v>
      </c>
      <c r="B53" s="50">
        <v>0.3645833333333333</v>
      </c>
      <c r="C53" s="51" t="s">
        <v>150</v>
      </c>
      <c r="D53" s="51" t="s">
        <v>151</v>
      </c>
      <c r="E53" s="50">
        <v>0.7361111111111112</v>
      </c>
      <c r="F53" s="51" t="s">
        <v>153</v>
      </c>
      <c r="G53" s="51" t="s">
        <v>151</v>
      </c>
      <c r="H53" s="51">
        <v>221.4</v>
      </c>
      <c r="I53" s="53">
        <f t="shared" si="21"/>
        <v>0.3715277778</v>
      </c>
      <c r="J53" s="48"/>
      <c r="K53" s="54">
        <f t="shared" si="22"/>
        <v>0.3715277778</v>
      </c>
      <c r="L53" s="55">
        <f t="shared" si="23"/>
        <v>8.916666667</v>
      </c>
      <c r="M53" s="56">
        <f t="shared" si="24"/>
        <v>24.82990654</v>
      </c>
    </row>
    <row r="54">
      <c r="A54" s="49">
        <v>44881.0</v>
      </c>
      <c r="B54" s="50">
        <v>0.4270833333333333</v>
      </c>
      <c r="C54" s="51" t="s">
        <v>153</v>
      </c>
      <c r="D54" s="51" t="s">
        <v>151</v>
      </c>
      <c r="E54" s="50">
        <v>0.5847222222222223</v>
      </c>
      <c r="F54" s="51" t="s">
        <v>155</v>
      </c>
      <c r="G54" s="51" t="s">
        <v>151</v>
      </c>
      <c r="H54" s="51">
        <v>69.0</v>
      </c>
      <c r="I54" s="53">
        <f t="shared" si="21"/>
        <v>0.1576388889</v>
      </c>
      <c r="J54" s="57">
        <v>0.041666666666666664</v>
      </c>
      <c r="K54" s="54">
        <f t="shared" si="22"/>
        <v>0.1159722222</v>
      </c>
      <c r="L54" s="55">
        <f t="shared" si="23"/>
        <v>2.783333333</v>
      </c>
      <c r="M54" s="56">
        <f t="shared" si="24"/>
        <v>24.79041916</v>
      </c>
    </row>
    <row r="55">
      <c r="A55" s="49">
        <v>44882.0</v>
      </c>
      <c r="B55" s="50">
        <v>0.3993055555555556</v>
      </c>
      <c r="C55" s="51" t="s">
        <v>155</v>
      </c>
      <c r="D55" s="51" t="s">
        <v>151</v>
      </c>
      <c r="E55" s="50">
        <v>0.44722222222222224</v>
      </c>
      <c r="F55" s="51" t="s">
        <v>156</v>
      </c>
      <c r="G55" s="51" t="s">
        <v>151</v>
      </c>
      <c r="H55" s="51">
        <v>57.1</v>
      </c>
      <c r="I55" s="53">
        <f t="shared" si="21"/>
        <v>0.04791666667</v>
      </c>
      <c r="J55" s="48"/>
      <c r="K55" s="54">
        <f t="shared" si="22"/>
        <v>0.04791666667</v>
      </c>
      <c r="L55" s="55">
        <f t="shared" si="23"/>
        <v>1.15</v>
      </c>
      <c r="M55" s="56">
        <f t="shared" si="24"/>
        <v>49.65217391</v>
      </c>
    </row>
    <row r="56">
      <c r="A56" s="49">
        <v>44889.0</v>
      </c>
      <c r="B56" s="50">
        <v>0.3145833333333333</v>
      </c>
      <c r="C56" s="51" t="s">
        <v>156</v>
      </c>
      <c r="D56" s="51" t="s">
        <v>151</v>
      </c>
      <c r="E56" s="50">
        <v>0.5840277777777778</v>
      </c>
      <c r="F56" s="51" t="s">
        <v>140</v>
      </c>
      <c r="G56" s="51" t="s">
        <v>102</v>
      </c>
      <c r="H56" s="51">
        <v>372.3</v>
      </c>
      <c r="I56" s="53">
        <f t="shared" si="21"/>
        <v>0.2694444444</v>
      </c>
      <c r="J56" s="48"/>
      <c r="K56" s="54">
        <f t="shared" si="22"/>
        <v>0.2694444444</v>
      </c>
      <c r="L56" s="55">
        <f t="shared" si="23"/>
        <v>6.466666667</v>
      </c>
      <c r="M56" s="56">
        <f t="shared" si="24"/>
        <v>57.57216495</v>
      </c>
    </row>
    <row r="57">
      <c r="A57" s="49">
        <v>44890.0</v>
      </c>
      <c r="B57" s="50">
        <v>0.4166666666666667</v>
      </c>
      <c r="C57" s="51" t="s">
        <v>140</v>
      </c>
      <c r="D57" s="51" t="s">
        <v>102</v>
      </c>
      <c r="E57" s="50">
        <v>0.6666666666666666</v>
      </c>
      <c r="F57" s="51" t="s">
        <v>158</v>
      </c>
      <c r="G57" s="51" t="s">
        <v>44</v>
      </c>
      <c r="H57" s="51">
        <v>312.5</v>
      </c>
      <c r="I57" s="53">
        <f t="shared" si="21"/>
        <v>0.25</v>
      </c>
      <c r="J57" s="57">
        <v>0.020833333333333332</v>
      </c>
      <c r="K57" s="54">
        <f t="shared" si="22"/>
        <v>0.2291666667</v>
      </c>
      <c r="L57" s="55">
        <f t="shared" si="23"/>
        <v>5.5</v>
      </c>
      <c r="M57" s="56">
        <f t="shared" si="24"/>
        <v>56.81818182</v>
      </c>
      <c r="N57" s="51" t="s">
        <v>159</v>
      </c>
    </row>
    <row r="58">
      <c r="A58" s="49">
        <v>44891.0</v>
      </c>
      <c r="B58" s="50">
        <v>0.33194444444444443</v>
      </c>
      <c r="C58" s="51" t="s">
        <v>158</v>
      </c>
      <c r="D58" s="51" t="s">
        <v>44</v>
      </c>
      <c r="E58" s="50">
        <v>0.625</v>
      </c>
      <c r="F58" s="51" t="s">
        <v>160</v>
      </c>
      <c r="G58" s="51" t="s">
        <v>44</v>
      </c>
      <c r="H58" s="51">
        <v>406.4</v>
      </c>
      <c r="I58" s="53">
        <f t="shared" si="21"/>
        <v>0.2930555556</v>
      </c>
      <c r="J58" s="57">
        <v>0.013888888888888888</v>
      </c>
      <c r="K58" s="54">
        <f t="shared" si="22"/>
        <v>0.2791666667</v>
      </c>
      <c r="L58" s="55">
        <f t="shared" si="23"/>
        <v>6.7</v>
      </c>
      <c r="M58" s="56">
        <f t="shared" si="24"/>
        <v>60.65671642</v>
      </c>
      <c r="N58" s="51" t="s">
        <v>161</v>
      </c>
    </row>
    <row r="59">
      <c r="A59" s="49">
        <v>44892.0</v>
      </c>
      <c r="B59" s="50">
        <v>0.3763888888888889</v>
      </c>
      <c r="C59" s="51" t="s">
        <v>160</v>
      </c>
      <c r="D59" s="51" t="s">
        <v>44</v>
      </c>
      <c r="E59" s="50">
        <v>0.6263888888888889</v>
      </c>
      <c r="F59" s="51" t="s">
        <v>46</v>
      </c>
      <c r="G59" s="51" t="s">
        <v>44</v>
      </c>
      <c r="H59" s="51">
        <v>239.4</v>
      </c>
      <c r="I59" s="53">
        <f t="shared" si="21"/>
        <v>0.25</v>
      </c>
      <c r="J59" s="57">
        <v>0.020833333333333332</v>
      </c>
      <c r="K59" s="54">
        <f t="shared" si="22"/>
        <v>0.2291666667</v>
      </c>
      <c r="L59" s="55">
        <f t="shared" si="23"/>
        <v>5.5</v>
      </c>
      <c r="M59" s="56">
        <f t="shared" si="24"/>
        <v>43.52727273</v>
      </c>
      <c r="N59" s="51" t="s">
        <v>162</v>
      </c>
    </row>
    <row r="60">
      <c r="J60" s="48"/>
      <c r="K60" s="48"/>
      <c r="L60" s="48"/>
    </row>
    <row r="61">
      <c r="A61" s="51" t="s">
        <v>143</v>
      </c>
      <c r="H61" s="38">
        <f>sum(H48:H59)</f>
        <v>3060.8</v>
      </c>
      <c r="J61" s="48"/>
      <c r="K61" s="48"/>
      <c r="L61" s="48"/>
    </row>
    <row r="62">
      <c r="J62" s="48"/>
      <c r="K62" s="48"/>
      <c r="L62" s="48"/>
    </row>
    <row r="63">
      <c r="A63" s="49">
        <v>44989.0</v>
      </c>
      <c r="B63" s="50">
        <v>0.4048611111111111</v>
      </c>
      <c r="C63" s="51" t="s">
        <v>46</v>
      </c>
      <c r="D63" s="51" t="s">
        <v>44</v>
      </c>
      <c r="E63" s="50">
        <v>0.5722222222222222</v>
      </c>
      <c r="F63" s="51" t="s">
        <v>43</v>
      </c>
      <c r="G63" s="51" t="s">
        <v>44</v>
      </c>
      <c r="H63" s="51">
        <v>121.6</v>
      </c>
      <c r="I63" s="53">
        <f t="shared" ref="I63:I71" si="25">E63-B63</f>
        <v>0.1673611111</v>
      </c>
      <c r="J63" s="57">
        <v>0.041666666666666664</v>
      </c>
      <c r="K63" s="59">
        <f t="shared" ref="K63:K71" si="26">I63-J63</f>
        <v>0.1256944444</v>
      </c>
      <c r="L63" s="61">
        <f t="shared" ref="L63:L71" si="27">HOUR(K63)+(MINUTE(K63)/60)</f>
        <v>3.016666667</v>
      </c>
      <c r="M63" s="56">
        <f t="shared" ref="M63:M71" si="28">H63/L63</f>
        <v>40.30939227</v>
      </c>
    </row>
    <row r="64">
      <c r="A64" s="49">
        <v>44990.0</v>
      </c>
      <c r="B64" s="50">
        <v>0.31875</v>
      </c>
      <c r="C64" s="51" t="s">
        <v>43</v>
      </c>
      <c r="D64" s="51" t="s">
        <v>44</v>
      </c>
      <c r="E64" s="50">
        <v>0.6173611111111111</v>
      </c>
      <c r="F64" s="51" t="s">
        <v>168</v>
      </c>
      <c r="G64" s="51" t="s">
        <v>39</v>
      </c>
      <c r="H64" s="51">
        <v>344.9</v>
      </c>
      <c r="I64" s="53">
        <f t="shared" si="25"/>
        <v>0.2986111111</v>
      </c>
      <c r="J64" s="48"/>
      <c r="K64" s="59">
        <f t="shared" si="26"/>
        <v>0.2986111111</v>
      </c>
      <c r="L64" s="61">
        <f t="shared" si="27"/>
        <v>7.166666667</v>
      </c>
      <c r="M64" s="56">
        <f t="shared" si="28"/>
        <v>48.1255814</v>
      </c>
      <c r="N64" s="51" t="s">
        <v>169</v>
      </c>
    </row>
    <row r="65">
      <c r="A65" s="49">
        <v>44992.0</v>
      </c>
      <c r="B65" s="50">
        <v>0.3215277777777778</v>
      </c>
      <c r="C65" s="51" t="s">
        <v>168</v>
      </c>
      <c r="D65" s="51" t="s">
        <v>39</v>
      </c>
      <c r="E65" s="50">
        <v>0.7493055555555556</v>
      </c>
      <c r="F65" s="51" t="s">
        <v>170</v>
      </c>
      <c r="G65" s="51" t="s">
        <v>39</v>
      </c>
      <c r="H65" s="51">
        <v>182.2</v>
      </c>
      <c r="I65" s="53">
        <f t="shared" si="25"/>
        <v>0.4277777778</v>
      </c>
      <c r="J65" s="57">
        <v>0.14583333333333334</v>
      </c>
      <c r="K65" s="59">
        <f t="shared" si="26"/>
        <v>0.2819444444</v>
      </c>
      <c r="L65" s="61">
        <f t="shared" si="27"/>
        <v>6.766666667</v>
      </c>
      <c r="M65" s="56">
        <f t="shared" si="28"/>
        <v>26.92610837</v>
      </c>
      <c r="N65" s="51" t="s">
        <v>172</v>
      </c>
    </row>
    <row r="66">
      <c r="A66" s="49">
        <v>44995.0</v>
      </c>
      <c r="B66" s="50">
        <v>0.34444444444444444</v>
      </c>
      <c r="C66" s="51" t="s">
        <v>170</v>
      </c>
      <c r="D66" s="51" t="s">
        <v>39</v>
      </c>
      <c r="E66" s="50">
        <v>0.6659722222222222</v>
      </c>
      <c r="F66" s="51" t="s">
        <v>173</v>
      </c>
      <c r="G66" s="51" t="s">
        <v>39</v>
      </c>
      <c r="H66" s="51">
        <v>251.1</v>
      </c>
      <c r="I66" s="53">
        <f t="shared" si="25"/>
        <v>0.3215277778</v>
      </c>
      <c r="J66" s="57">
        <v>0.020833333333333332</v>
      </c>
      <c r="K66" s="59">
        <f t="shared" si="26"/>
        <v>0.3006944444</v>
      </c>
      <c r="L66" s="61">
        <f t="shared" si="27"/>
        <v>7.216666667</v>
      </c>
      <c r="M66" s="56">
        <f t="shared" si="28"/>
        <v>34.79445727</v>
      </c>
    </row>
    <row r="67">
      <c r="A67" s="49">
        <v>44998.0</v>
      </c>
      <c r="B67" s="50">
        <v>0.35625</v>
      </c>
      <c r="C67" s="51" t="s">
        <v>173</v>
      </c>
      <c r="D67" s="51" t="s">
        <v>39</v>
      </c>
      <c r="E67" s="50">
        <v>0.6777777777777778</v>
      </c>
      <c r="F67" s="51" t="s">
        <v>174</v>
      </c>
      <c r="G67" s="51" t="s">
        <v>39</v>
      </c>
      <c r="H67" s="51">
        <v>362.6</v>
      </c>
      <c r="I67" s="53">
        <f t="shared" si="25"/>
        <v>0.3215277778</v>
      </c>
      <c r="J67" s="57">
        <v>0.013888888888888888</v>
      </c>
      <c r="K67" s="59">
        <f t="shared" si="26"/>
        <v>0.3076388889</v>
      </c>
      <c r="L67" s="61">
        <f t="shared" si="27"/>
        <v>7.383333333</v>
      </c>
      <c r="M67" s="56">
        <f t="shared" si="28"/>
        <v>49.11060948</v>
      </c>
    </row>
    <row r="68">
      <c r="A68" s="49">
        <v>44999.0</v>
      </c>
      <c r="B68" s="50">
        <v>0.36666666666666664</v>
      </c>
      <c r="C68" s="51" t="s">
        <v>174</v>
      </c>
      <c r="D68" s="51" t="s">
        <v>39</v>
      </c>
      <c r="E68" s="50">
        <v>0.5888888888888889</v>
      </c>
      <c r="F68" s="51" t="s">
        <v>175</v>
      </c>
      <c r="G68" s="51" t="s">
        <v>44</v>
      </c>
      <c r="H68" s="51">
        <v>410.0</v>
      </c>
      <c r="I68" s="53">
        <f t="shared" si="25"/>
        <v>0.2222222222</v>
      </c>
      <c r="J68" s="48"/>
      <c r="K68" s="59">
        <f t="shared" si="26"/>
        <v>0.2222222222</v>
      </c>
      <c r="L68" s="61">
        <f t="shared" si="27"/>
        <v>5.333333333</v>
      </c>
      <c r="M68" s="56">
        <f t="shared" si="28"/>
        <v>76.875</v>
      </c>
      <c r="N68" s="51" t="s">
        <v>176</v>
      </c>
    </row>
    <row r="69">
      <c r="A69" s="49">
        <v>45002.0</v>
      </c>
      <c r="B69" s="50">
        <v>0.3784722222222222</v>
      </c>
      <c r="C69" s="51" t="s">
        <v>175</v>
      </c>
      <c r="D69" s="51" t="s">
        <v>44</v>
      </c>
      <c r="E69" s="50">
        <v>0.6361111111111111</v>
      </c>
      <c r="F69" s="51" t="s">
        <v>177</v>
      </c>
      <c r="G69" s="51" t="s">
        <v>6</v>
      </c>
      <c r="H69" s="51">
        <v>261.0</v>
      </c>
      <c r="I69" s="53">
        <f t="shared" si="25"/>
        <v>0.2576388889</v>
      </c>
      <c r="J69" s="57">
        <v>0.0625</v>
      </c>
      <c r="K69" s="59">
        <f t="shared" si="26"/>
        <v>0.1951388889</v>
      </c>
      <c r="L69" s="61">
        <f t="shared" si="27"/>
        <v>4.683333333</v>
      </c>
      <c r="M69" s="56">
        <f t="shared" si="28"/>
        <v>55.72953737</v>
      </c>
      <c r="O69" s="38">
        <f>sum(H63:H71)</f>
        <v>2354.5</v>
      </c>
    </row>
    <row r="70">
      <c r="A70" s="49">
        <v>45005.0</v>
      </c>
      <c r="B70" s="50">
        <v>0.29583333333333334</v>
      </c>
      <c r="C70" s="51" t="s">
        <v>177</v>
      </c>
      <c r="D70" s="51" t="s">
        <v>42</v>
      </c>
      <c r="E70" s="50">
        <v>0.70625</v>
      </c>
      <c r="F70" s="51" t="s">
        <v>179</v>
      </c>
      <c r="G70" s="51" t="s">
        <v>44</v>
      </c>
      <c r="H70" s="51">
        <v>332.9</v>
      </c>
      <c r="I70" s="53">
        <f t="shared" si="25"/>
        <v>0.4104166667</v>
      </c>
      <c r="J70" s="57">
        <v>0.10416666666666667</v>
      </c>
      <c r="K70" s="59">
        <f t="shared" si="26"/>
        <v>0.30625</v>
      </c>
      <c r="L70" s="61">
        <f t="shared" si="27"/>
        <v>7.35</v>
      </c>
      <c r="M70" s="56">
        <f t="shared" si="28"/>
        <v>45.29251701</v>
      </c>
      <c r="N70" s="51" t="s">
        <v>180</v>
      </c>
    </row>
    <row r="71">
      <c r="A71" s="49">
        <v>45011.0</v>
      </c>
      <c r="B71" s="50">
        <v>0.34375</v>
      </c>
      <c r="C71" s="51" t="s">
        <v>179</v>
      </c>
      <c r="D71" s="51" t="s">
        <v>44</v>
      </c>
      <c r="E71" s="50">
        <v>0.4152777777777778</v>
      </c>
      <c r="F71" s="51" t="s">
        <v>46</v>
      </c>
      <c r="G71" s="51" t="s">
        <v>44</v>
      </c>
      <c r="H71" s="51">
        <v>88.2</v>
      </c>
      <c r="I71" s="53">
        <f t="shared" si="25"/>
        <v>0.07152777778</v>
      </c>
      <c r="J71" s="48"/>
      <c r="K71" s="59">
        <f t="shared" si="26"/>
        <v>0.07152777778</v>
      </c>
      <c r="L71" s="61">
        <f t="shared" si="27"/>
        <v>1.716666667</v>
      </c>
      <c r="M71" s="56">
        <f t="shared" si="28"/>
        <v>51.37864078</v>
      </c>
    </row>
    <row r="72">
      <c r="J72" s="48"/>
      <c r="K72" s="48"/>
      <c r="L72" s="61"/>
      <c r="M72" s="56"/>
    </row>
    <row r="73">
      <c r="A73" s="49">
        <v>45177.0</v>
      </c>
      <c r="B73" s="50">
        <v>0.35138888888888886</v>
      </c>
      <c r="C73" s="51" t="s">
        <v>46</v>
      </c>
      <c r="D73" s="51" t="s">
        <v>44</v>
      </c>
      <c r="E73" s="50">
        <v>0.7145833333333333</v>
      </c>
      <c r="F73" s="51" t="s">
        <v>181</v>
      </c>
      <c r="G73" s="51" t="s">
        <v>44</v>
      </c>
      <c r="H73" s="51">
        <v>362.1</v>
      </c>
      <c r="I73" s="53">
        <f t="shared" ref="I73:I85" si="29">E73-B73</f>
        <v>0.3631944444</v>
      </c>
      <c r="J73" s="57">
        <v>0.041666666666666664</v>
      </c>
      <c r="K73" s="59">
        <f t="shared" ref="K73:K85" si="30">I73-J73</f>
        <v>0.3215277778</v>
      </c>
      <c r="L73" s="61">
        <f t="shared" ref="L73:L85" si="31">HOUR(K73)+(MINUTE(K73)/60)</f>
        <v>7.716666667</v>
      </c>
      <c r="M73" s="56">
        <f t="shared" ref="M73:M78" si="32">H73/L73</f>
        <v>46.92440605</v>
      </c>
      <c r="N73" s="51" t="s">
        <v>182</v>
      </c>
    </row>
    <row r="74">
      <c r="A74" s="49">
        <v>45178.0</v>
      </c>
      <c r="B74" s="50">
        <v>0.33055555555555555</v>
      </c>
      <c r="C74" s="51" t="s">
        <v>183</v>
      </c>
      <c r="D74" s="51" t="s">
        <v>44</v>
      </c>
      <c r="E74" s="50">
        <v>0.6777777777777778</v>
      </c>
      <c r="F74" s="51" t="s">
        <v>184</v>
      </c>
      <c r="G74" s="51" t="s">
        <v>44</v>
      </c>
      <c r="H74" s="51">
        <v>347.3</v>
      </c>
      <c r="I74" s="53">
        <f t="shared" si="29"/>
        <v>0.3472222222</v>
      </c>
      <c r="J74" s="57">
        <v>0.041666666666666664</v>
      </c>
      <c r="K74" s="59">
        <f t="shared" si="30"/>
        <v>0.3055555556</v>
      </c>
      <c r="L74" s="61">
        <f t="shared" si="31"/>
        <v>7.333333333</v>
      </c>
      <c r="M74" s="56">
        <f t="shared" si="32"/>
        <v>47.35909091</v>
      </c>
      <c r="N74" s="51" t="s">
        <v>185</v>
      </c>
    </row>
    <row r="75">
      <c r="A75" s="49">
        <v>45179.0</v>
      </c>
      <c r="B75" s="50">
        <v>0.39305555555555555</v>
      </c>
      <c r="C75" s="51" t="s">
        <v>184</v>
      </c>
      <c r="D75" s="51" t="s">
        <v>44</v>
      </c>
      <c r="E75" s="50">
        <v>0.675</v>
      </c>
      <c r="F75" s="51" t="s">
        <v>140</v>
      </c>
      <c r="G75" s="51" t="s">
        <v>102</v>
      </c>
      <c r="H75" s="51">
        <v>265.6</v>
      </c>
      <c r="I75" s="53">
        <f t="shared" si="29"/>
        <v>0.2819444444</v>
      </c>
      <c r="J75" s="57">
        <v>0.03125</v>
      </c>
      <c r="K75" s="59">
        <f t="shared" si="30"/>
        <v>0.2506944444</v>
      </c>
      <c r="L75" s="61">
        <f t="shared" si="31"/>
        <v>6.016666667</v>
      </c>
      <c r="M75" s="56">
        <f t="shared" si="32"/>
        <v>44.14404432</v>
      </c>
      <c r="N75" s="51" t="s">
        <v>186</v>
      </c>
    </row>
    <row r="76">
      <c r="A76" s="49">
        <v>45180.0</v>
      </c>
      <c r="B76" s="50">
        <v>0.3</v>
      </c>
      <c r="C76" s="51" t="s">
        <v>140</v>
      </c>
      <c r="D76" s="51" t="s">
        <v>102</v>
      </c>
      <c r="E76" s="50">
        <v>0.6020833333333333</v>
      </c>
      <c r="F76" s="51" t="s">
        <v>153</v>
      </c>
      <c r="G76" s="51" t="s">
        <v>151</v>
      </c>
      <c r="H76" s="51">
        <v>361.1</v>
      </c>
      <c r="I76" s="53">
        <f t="shared" si="29"/>
        <v>0.3020833333</v>
      </c>
      <c r="J76" s="57">
        <v>0.020833333333333332</v>
      </c>
      <c r="K76" s="59">
        <f t="shared" si="30"/>
        <v>0.28125</v>
      </c>
      <c r="L76" s="61">
        <f t="shared" si="31"/>
        <v>6.75</v>
      </c>
      <c r="M76" s="56">
        <f t="shared" si="32"/>
        <v>53.4962963</v>
      </c>
      <c r="N76" s="51" t="s">
        <v>116</v>
      </c>
    </row>
    <row r="77">
      <c r="A77" s="49">
        <v>45181.0</v>
      </c>
      <c r="B77" s="50">
        <v>0.4895833333333333</v>
      </c>
      <c r="C77" s="51" t="s">
        <v>187</v>
      </c>
      <c r="D77" s="51" t="s">
        <v>188</v>
      </c>
      <c r="E77" s="50">
        <v>0.7326388888888888</v>
      </c>
      <c r="F77" s="51" t="s">
        <v>189</v>
      </c>
      <c r="G77" s="51" t="s">
        <v>188</v>
      </c>
      <c r="H77" s="51">
        <v>212.1</v>
      </c>
      <c r="I77" s="53">
        <f t="shared" si="29"/>
        <v>0.2430555556</v>
      </c>
      <c r="J77" s="57">
        <v>0.020833333333333332</v>
      </c>
      <c r="K77" s="59">
        <f t="shared" si="30"/>
        <v>0.2222222222</v>
      </c>
      <c r="L77" s="61">
        <f t="shared" si="31"/>
        <v>5.333333333</v>
      </c>
      <c r="M77" s="56">
        <f t="shared" si="32"/>
        <v>39.76875</v>
      </c>
      <c r="N77" s="51" t="s">
        <v>190</v>
      </c>
    </row>
    <row r="78">
      <c r="A78" s="49">
        <v>45188.0</v>
      </c>
      <c r="B78" s="50">
        <v>0.3923611111111111</v>
      </c>
      <c r="C78" s="51" t="s">
        <v>189</v>
      </c>
      <c r="D78" s="51" t="s">
        <v>188</v>
      </c>
      <c r="E78" s="50">
        <v>0.5493055555555556</v>
      </c>
      <c r="F78" s="51" t="s">
        <v>191</v>
      </c>
      <c r="G78" s="51" t="s">
        <v>188</v>
      </c>
      <c r="H78" s="51">
        <v>156.6</v>
      </c>
      <c r="I78" s="53">
        <f t="shared" si="29"/>
        <v>0.1569444444</v>
      </c>
      <c r="J78" s="57">
        <v>0.010416666666666666</v>
      </c>
      <c r="K78" s="59">
        <f t="shared" si="30"/>
        <v>0.1465277778</v>
      </c>
      <c r="L78" s="61">
        <f t="shared" si="31"/>
        <v>3.516666667</v>
      </c>
      <c r="M78" s="56">
        <f t="shared" si="32"/>
        <v>44.53080569</v>
      </c>
      <c r="N78" s="51" t="s">
        <v>192</v>
      </c>
    </row>
    <row r="79">
      <c r="A79" s="49">
        <v>45193.0</v>
      </c>
      <c r="B79" s="50">
        <v>0.3402777777777778</v>
      </c>
      <c r="C79" s="51" t="s">
        <v>191</v>
      </c>
      <c r="D79" s="51" t="s">
        <v>188</v>
      </c>
      <c r="E79" s="50">
        <v>0.6625</v>
      </c>
      <c r="F79" s="51" t="s">
        <v>193</v>
      </c>
      <c r="G79" s="51" t="s">
        <v>188</v>
      </c>
      <c r="H79" s="51">
        <v>100.8</v>
      </c>
      <c r="I79" s="53">
        <f t="shared" si="29"/>
        <v>0.3222222222</v>
      </c>
      <c r="J79" s="48"/>
      <c r="K79" s="59">
        <f t="shared" si="30"/>
        <v>0.3222222222</v>
      </c>
      <c r="L79" s="61">
        <f t="shared" si="31"/>
        <v>7.733333333</v>
      </c>
      <c r="M79" s="56"/>
      <c r="N79" s="51" t="s">
        <v>194</v>
      </c>
    </row>
    <row r="80">
      <c r="A80" s="49">
        <v>45194.0</v>
      </c>
      <c r="B80" s="50">
        <v>0.42430555555555555</v>
      </c>
      <c r="C80" s="51" t="s">
        <v>193</v>
      </c>
      <c r="D80" s="51" t="s">
        <v>188</v>
      </c>
      <c r="E80" s="50">
        <v>0.7486111111111111</v>
      </c>
      <c r="F80" s="51" t="s">
        <v>195</v>
      </c>
      <c r="G80" s="51" t="s">
        <v>151</v>
      </c>
      <c r="H80" s="51">
        <v>167.2</v>
      </c>
      <c r="I80" s="53">
        <f t="shared" si="29"/>
        <v>0.3243055556</v>
      </c>
      <c r="J80" s="57">
        <v>0.11458333333333333</v>
      </c>
      <c r="K80" s="59">
        <f t="shared" si="30"/>
        <v>0.2097222222</v>
      </c>
      <c r="L80" s="61">
        <f t="shared" si="31"/>
        <v>5.033333333</v>
      </c>
      <c r="M80" s="56">
        <f t="shared" ref="M80:M85" si="33">H80/L80</f>
        <v>33.21854305</v>
      </c>
      <c r="N80" s="51" t="s">
        <v>197</v>
      </c>
    </row>
    <row r="81">
      <c r="A81" s="49">
        <v>45196.0</v>
      </c>
      <c r="B81" s="50">
        <v>0.33055555555555555</v>
      </c>
      <c r="C81" s="51" t="s">
        <v>195</v>
      </c>
      <c r="D81" s="51" t="s">
        <v>151</v>
      </c>
      <c r="E81" s="50">
        <v>0.625</v>
      </c>
      <c r="F81" s="51" t="s">
        <v>140</v>
      </c>
      <c r="G81" s="51" t="s">
        <v>102</v>
      </c>
      <c r="H81" s="51">
        <v>333.3</v>
      </c>
      <c r="I81" s="53">
        <f t="shared" si="29"/>
        <v>0.2944444444</v>
      </c>
      <c r="J81" s="57">
        <v>0.03125</v>
      </c>
      <c r="K81" s="59">
        <f t="shared" si="30"/>
        <v>0.2631944444</v>
      </c>
      <c r="L81" s="61">
        <f t="shared" si="31"/>
        <v>6.316666667</v>
      </c>
      <c r="M81" s="56">
        <f t="shared" si="33"/>
        <v>52.7651715</v>
      </c>
      <c r="N81" s="51" t="s">
        <v>198</v>
      </c>
    </row>
    <row r="82">
      <c r="A82" s="49">
        <v>45197.0</v>
      </c>
      <c r="B82" s="50">
        <v>0.32013888888888886</v>
      </c>
      <c r="C82" s="51" t="s">
        <v>140</v>
      </c>
      <c r="D82" s="51" t="s">
        <v>102</v>
      </c>
      <c r="E82" s="50">
        <v>0.6097222222222223</v>
      </c>
      <c r="F82" s="51" t="s">
        <v>184</v>
      </c>
      <c r="G82" s="51" t="s">
        <v>44</v>
      </c>
      <c r="H82" s="51">
        <v>266.6</v>
      </c>
      <c r="I82" s="53">
        <f t="shared" si="29"/>
        <v>0.2895833333</v>
      </c>
      <c r="J82" s="57">
        <v>0.013888888888888888</v>
      </c>
      <c r="K82" s="59">
        <f t="shared" si="30"/>
        <v>0.2756944444</v>
      </c>
      <c r="L82" s="61">
        <f t="shared" si="31"/>
        <v>6.616666667</v>
      </c>
      <c r="M82" s="56">
        <f t="shared" si="33"/>
        <v>40.29219144</v>
      </c>
      <c r="N82" s="51" t="s">
        <v>199</v>
      </c>
      <c r="O82" s="38">
        <f>sum(H73:H85)</f>
        <v>3447.4</v>
      </c>
    </row>
    <row r="83">
      <c r="A83" s="49">
        <v>45198.0</v>
      </c>
      <c r="B83" s="50">
        <v>0.3645833333333333</v>
      </c>
      <c r="C83" s="51" t="s">
        <v>184</v>
      </c>
      <c r="D83" s="51" t="s">
        <v>44</v>
      </c>
      <c r="E83" s="50">
        <v>0.7416666666666667</v>
      </c>
      <c r="F83" s="51" t="s">
        <v>181</v>
      </c>
      <c r="G83" s="51" t="s">
        <v>44</v>
      </c>
      <c r="H83" s="51">
        <v>389.5</v>
      </c>
      <c r="I83" s="53">
        <f t="shared" si="29"/>
        <v>0.3770833333</v>
      </c>
      <c r="J83" s="57">
        <v>0.020833333333333332</v>
      </c>
      <c r="K83" s="59">
        <f t="shared" si="30"/>
        <v>0.35625</v>
      </c>
      <c r="L83" s="61">
        <f t="shared" si="31"/>
        <v>8.55</v>
      </c>
      <c r="M83" s="56">
        <f t="shared" si="33"/>
        <v>45.55555556</v>
      </c>
      <c r="N83" s="51" t="s">
        <v>201</v>
      </c>
    </row>
    <row r="84">
      <c r="A84" s="49">
        <v>45199.0</v>
      </c>
      <c r="B84" s="50">
        <v>0.35833333333333334</v>
      </c>
      <c r="C84" s="51" t="s">
        <v>183</v>
      </c>
      <c r="D84" s="51" t="s">
        <v>44</v>
      </c>
      <c r="E84" s="50">
        <v>0.6979166666666666</v>
      </c>
      <c r="F84" s="51" t="s">
        <v>142</v>
      </c>
      <c r="G84" s="51" t="s">
        <v>44</v>
      </c>
      <c r="H84" s="51">
        <v>244.6</v>
      </c>
      <c r="I84" s="53">
        <f t="shared" si="29"/>
        <v>0.3395833333</v>
      </c>
      <c r="J84" s="57">
        <v>0.11805555555555555</v>
      </c>
      <c r="K84" s="59">
        <f t="shared" si="30"/>
        <v>0.2215277778</v>
      </c>
      <c r="L84" s="61">
        <f t="shared" si="31"/>
        <v>5.316666667</v>
      </c>
      <c r="M84" s="56">
        <f t="shared" si="33"/>
        <v>46.00626959</v>
      </c>
      <c r="N84" s="51" t="s">
        <v>203</v>
      </c>
    </row>
    <row r="85">
      <c r="A85" s="49">
        <v>45200.0</v>
      </c>
      <c r="B85" s="50">
        <v>0.38263888888888886</v>
      </c>
      <c r="C85" s="51" t="s">
        <v>142</v>
      </c>
      <c r="D85" s="51" t="s">
        <v>44</v>
      </c>
      <c r="E85" s="50">
        <v>0.6826388888888889</v>
      </c>
      <c r="F85" s="51" t="s">
        <v>46</v>
      </c>
      <c r="G85" s="51" t="s">
        <v>44</v>
      </c>
      <c r="H85" s="51">
        <v>240.6</v>
      </c>
      <c r="I85" s="53">
        <f t="shared" si="29"/>
        <v>0.3</v>
      </c>
      <c r="J85" s="57">
        <v>0.0625</v>
      </c>
      <c r="K85" s="59">
        <f t="shared" si="30"/>
        <v>0.2375</v>
      </c>
      <c r="L85" s="61">
        <f t="shared" si="31"/>
        <v>5.7</v>
      </c>
      <c r="M85" s="56">
        <f t="shared" si="33"/>
        <v>42.21052632</v>
      </c>
      <c r="N85" s="51" t="s">
        <v>204</v>
      </c>
    </row>
    <row r="86">
      <c r="J86" s="48"/>
      <c r="K86" s="48"/>
      <c r="L86" s="61"/>
      <c r="M86" s="56"/>
    </row>
    <row r="87">
      <c r="A87" s="64">
        <v>45460.0</v>
      </c>
      <c r="B87" s="50">
        <v>0.4131944444444444</v>
      </c>
      <c r="C87" s="51" t="s">
        <v>46</v>
      </c>
      <c r="D87" s="51" t="s">
        <v>44</v>
      </c>
      <c r="E87" s="50">
        <v>0.6451388888888889</v>
      </c>
      <c r="F87" s="51" t="s">
        <v>142</v>
      </c>
      <c r="G87" s="51" t="s">
        <v>44</v>
      </c>
      <c r="H87" s="51">
        <v>225.8</v>
      </c>
      <c r="I87" s="53">
        <f t="shared" ref="I87:I97" si="34">E87-B87</f>
        <v>0.2319444444</v>
      </c>
      <c r="J87" s="57">
        <v>0.010416666666666666</v>
      </c>
      <c r="K87" s="59">
        <f t="shared" ref="K87:K97" si="35">I87-J87</f>
        <v>0.2215277778</v>
      </c>
      <c r="L87" s="61">
        <f t="shared" ref="L87:L97" si="36">HOUR(K87)+(MINUTE(K87)/60)</f>
        <v>5.316666667</v>
      </c>
      <c r="M87" s="56">
        <f t="shared" ref="M87:M97" si="37">H87/L87</f>
        <v>42.47021944</v>
      </c>
    </row>
    <row r="88">
      <c r="A88" s="49">
        <v>45462.0</v>
      </c>
      <c r="B88" s="50">
        <v>0.3416666666666667</v>
      </c>
      <c r="C88" s="51" t="s">
        <v>142</v>
      </c>
      <c r="D88" s="51" t="s">
        <v>44</v>
      </c>
      <c r="E88" s="50">
        <v>0.7652777777777777</v>
      </c>
      <c r="F88" s="51" t="s">
        <v>208</v>
      </c>
      <c r="G88" s="51" t="s">
        <v>44</v>
      </c>
      <c r="H88" s="51">
        <v>276.2</v>
      </c>
      <c r="I88" s="53">
        <f t="shared" si="34"/>
        <v>0.4236111111</v>
      </c>
      <c r="J88" s="57">
        <v>0.10416666666666667</v>
      </c>
      <c r="K88" s="59">
        <f t="shared" si="35"/>
        <v>0.3194444444</v>
      </c>
      <c r="L88" s="61">
        <f t="shared" si="36"/>
        <v>7.666666667</v>
      </c>
      <c r="M88" s="56">
        <f t="shared" si="37"/>
        <v>36.02608696</v>
      </c>
    </row>
    <row r="89">
      <c r="A89" s="49">
        <v>45465.0</v>
      </c>
      <c r="B89" s="50">
        <v>0.42777777777777776</v>
      </c>
      <c r="C89" s="51" t="s">
        <v>208</v>
      </c>
      <c r="D89" s="51" t="s">
        <v>44</v>
      </c>
      <c r="E89" s="50">
        <v>0.6819444444444445</v>
      </c>
      <c r="F89" s="51" t="s">
        <v>210</v>
      </c>
      <c r="G89" s="51" t="s">
        <v>44</v>
      </c>
      <c r="H89" s="51">
        <v>123.5</v>
      </c>
      <c r="I89" s="53">
        <f t="shared" si="34"/>
        <v>0.2541666667</v>
      </c>
      <c r="J89" s="57">
        <v>0.10416666666666667</v>
      </c>
      <c r="K89" s="59">
        <f t="shared" si="35"/>
        <v>0.15</v>
      </c>
      <c r="L89" s="61">
        <f t="shared" si="36"/>
        <v>3.6</v>
      </c>
      <c r="M89" s="56">
        <f t="shared" si="37"/>
        <v>34.30555556</v>
      </c>
    </row>
    <row r="90">
      <c r="A90" s="49">
        <v>45466.0</v>
      </c>
      <c r="B90" s="50">
        <v>0.4027777777777778</v>
      </c>
      <c r="C90" s="51" t="s">
        <v>210</v>
      </c>
      <c r="D90" s="51" t="s">
        <v>44</v>
      </c>
      <c r="E90" s="50">
        <v>0.5347222222222222</v>
      </c>
      <c r="F90" s="51" t="s">
        <v>211</v>
      </c>
      <c r="G90" s="51" t="s">
        <v>42</v>
      </c>
      <c r="H90" s="51">
        <v>161.7</v>
      </c>
      <c r="I90" s="53">
        <f t="shared" si="34"/>
        <v>0.1319444444</v>
      </c>
      <c r="J90" s="48"/>
      <c r="K90" s="59">
        <f t="shared" si="35"/>
        <v>0.1319444444</v>
      </c>
      <c r="L90" s="61">
        <f t="shared" si="36"/>
        <v>3.166666667</v>
      </c>
      <c r="M90" s="56">
        <f t="shared" si="37"/>
        <v>51.06315789</v>
      </c>
    </row>
    <row r="91">
      <c r="A91" s="49">
        <v>45467.0</v>
      </c>
      <c r="B91" s="50">
        <v>0.4465277777777778</v>
      </c>
      <c r="C91" s="51" t="s">
        <v>211</v>
      </c>
      <c r="D91" s="51" t="s">
        <v>42</v>
      </c>
      <c r="E91" s="50">
        <v>0.5479166666666667</v>
      </c>
      <c r="F91" s="51" t="s">
        <v>212</v>
      </c>
      <c r="G91" s="51" t="s">
        <v>42</v>
      </c>
      <c r="H91" s="51">
        <v>128.8</v>
      </c>
      <c r="I91" s="53">
        <f t="shared" si="34"/>
        <v>0.1013888889</v>
      </c>
      <c r="J91" s="57">
        <v>0.020833333333333332</v>
      </c>
      <c r="K91" s="59">
        <f t="shared" si="35"/>
        <v>0.08055555556</v>
      </c>
      <c r="L91" s="61">
        <f t="shared" si="36"/>
        <v>1.933333333</v>
      </c>
      <c r="M91" s="56">
        <f t="shared" si="37"/>
        <v>66.62068966</v>
      </c>
    </row>
    <row r="92">
      <c r="A92" s="49">
        <v>45468.0</v>
      </c>
      <c r="B92" s="50">
        <v>0.3875</v>
      </c>
      <c r="C92" s="51" t="s">
        <v>212</v>
      </c>
      <c r="D92" s="51" t="s">
        <v>42</v>
      </c>
      <c r="E92" s="50">
        <v>0.6597222222222222</v>
      </c>
      <c r="F92" s="51" t="s">
        <v>213</v>
      </c>
      <c r="G92" s="51" t="s">
        <v>214</v>
      </c>
      <c r="H92" s="51">
        <v>294.9</v>
      </c>
      <c r="I92" s="53">
        <f t="shared" si="34"/>
        <v>0.2722222222</v>
      </c>
      <c r="J92" s="48"/>
      <c r="K92" s="59">
        <f t="shared" si="35"/>
        <v>0.2722222222</v>
      </c>
      <c r="L92" s="61">
        <f t="shared" si="36"/>
        <v>6.533333333</v>
      </c>
      <c r="M92" s="56">
        <f t="shared" si="37"/>
        <v>45.1377551</v>
      </c>
    </row>
    <row r="93">
      <c r="A93" s="49">
        <v>45469.0</v>
      </c>
      <c r="B93" s="50">
        <v>0.4125</v>
      </c>
      <c r="C93" s="51" t="s">
        <v>213</v>
      </c>
      <c r="D93" s="51" t="s">
        <v>214</v>
      </c>
      <c r="E93" s="50">
        <v>0.6638888888888889</v>
      </c>
      <c r="F93" s="51" t="s">
        <v>215</v>
      </c>
      <c r="G93" s="51" t="s">
        <v>216</v>
      </c>
      <c r="H93" s="51">
        <v>279.0</v>
      </c>
      <c r="I93" s="53">
        <f t="shared" si="34"/>
        <v>0.2513888889</v>
      </c>
      <c r="J93" s="48"/>
      <c r="K93" s="59">
        <f t="shared" si="35"/>
        <v>0.2513888889</v>
      </c>
      <c r="L93" s="61">
        <f t="shared" si="36"/>
        <v>6.033333333</v>
      </c>
      <c r="M93" s="56">
        <f t="shared" si="37"/>
        <v>46.24309392</v>
      </c>
      <c r="O93" s="38">
        <f>sum(H87:H97)</f>
        <v>2571.1</v>
      </c>
    </row>
    <row r="94">
      <c r="A94" s="49">
        <v>45472.0</v>
      </c>
      <c r="B94" s="50">
        <v>0.3909722222222222</v>
      </c>
      <c r="C94" s="51" t="s">
        <v>215</v>
      </c>
      <c r="D94" s="51" t="s">
        <v>216</v>
      </c>
      <c r="E94" s="50">
        <v>0.6645833333333333</v>
      </c>
      <c r="F94" s="51" t="s">
        <v>217</v>
      </c>
      <c r="G94" s="51" t="s">
        <v>218</v>
      </c>
      <c r="H94" s="51">
        <v>135.5</v>
      </c>
      <c r="I94" s="53">
        <f t="shared" si="34"/>
        <v>0.2736111111</v>
      </c>
      <c r="J94" s="57">
        <v>0.0625</v>
      </c>
      <c r="K94" s="59">
        <f t="shared" si="35"/>
        <v>0.2111111111</v>
      </c>
      <c r="L94" s="61">
        <f t="shared" si="36"/>
        <v>5.066666667</v>
      </c>
      <c r="M94" s="56">
        <f t="shared" si="37"/>
        <v>26.74342105</v>
      </c>
    </row>
    <row r="95">
      <c r="A95" s="49">
        <v>45473.0</v>
      </c>
      <c r="B95" s="50">
        <v>0.39375</v>
      </c>
      <c r="C95" s="51" t="s">
        <v>217</v>
      </c>
      <c r="D95" s="51" t="s">
        <v>218</v>
      </c>
      <c r="E95" s="50">
        <v>0.6555555555555556</v>
      </c>
      <c r="F95" s="51" t="s">
        <v>219</v>
      </c>
      <c r="G95" s="51" t="s">
        <v>39</v>
      </c>
      <c r="H95" s="51">
        <v>295.9</v>
      </c>
      <c r="I95" s="53">
        <f t="shared" si="34"/>
        <v>0.2618055556</v>
      </c>
      <c r="J95" s="48"/>
      <c r="K95" s="59">
        <f t="shared" si="35"/>
        <v>0.2618055556</v>
      </c>
      <c r="L95" s="61">
        <f t="shared" si="36"/>
        <v>6.283333333</v>
      </c>
      <c r="M95" s="56">
        <f t="shared" si="37"/>
        <v>47.0928382</v>
      </c>
    </row>
    <row r="96">
      <c r="A96" s="49">
        <v>45474.0</v>
      </c>
      <c r="B96" s="50">
        <v>0.3993055555555556</v>
      </c>
      <c r="C96" s="51" t="s">
        <v>219</v>
      </c>
      <c r="D96" s="51" t="s">
        <v>39</v>
      </c>
      <c r="E96" s="50">
        <v>0.6152777777777778</v>
      </c>
      <c r="F96" s="51" t="s">
        <v>177</v>
      </c>
      <c r="G96" s="51" t="s">
        <v>42</v>
      </c>
      <c r="H96" s="51">
        <v>374.7</v>
      </c>
      <c r="I96" s="53">
        <f t="shared" si="34"/>
        <v>0.2159722222</v>
      </c>
      <c r="J96" s="48"/>
      <c r="K96" s="59">
        <f t="shared" si="35"/>
        <v>0.2159722222</v>
      </c>
      <c r="L96" s="61">
        <f t="shared" si="36"/>
        <v>5.183333333</v>
      </c>
      <c r="M96" s="56">
        <f t="shared" si="37"/>
        <v>72.28938907</v>
      </c>
    </row>
    <row r="97">
      <c r="A97" s="49">
        <v>45475.0</v>
      </c>
      <c r="B97" s="50">
        <v>0.3798611111111111</v>
      </c>
      <c r="C97" s="51" t="s">
        <v>177</v>
      </c>
      <c r="D97" s="51" t="s">
        <v>42</v>
      </c>
      <c r="E97" s="50">
        <v>0.6048611111111111</v>
      </c>
      <c r="F97" s="51" t="s">
        <v>46</v>
      </c>
      <c r="G97" s="51" t="s">
        <v>44</v>
      </c>
      <c r="H97" s="51">
        <v>275.1</v>
      </c>
      <c r="I97" s="53">
        <f t="shared" si="34"/>
        <v>0.225</v>
      </c>
      <c r="J97" s="57">
        <v>0.020833333333333332</v>
      </c>
      <c r="K97" s="59">
        <f t="shared" si="35"/>
        <v>0.2041666667</v>
      </c>
      <c r="L97" s="61">
        <f t="shared" si="36"/>
        <v>4.9</v>
      </c>
      <c r="M97" s="56">
        <f t="shared" si="37"/>
        <v>56.14285714</v>
      </c>
    </row>
    <row r="98">
      <c r="J98" s="48"/>
      <c r="K98" s="48"/>
      <c r="L98" s="61"/>
      <c r="M98" s="56"/>
    </row>
    <row r="99">
      <c r="J99" s="48"/>
      <c r="K99" s="48"/>
      <c r="L99" s="61"/>
      <c r="M99" s="56"/>
    </row>
    <row r="100">
      <c r="J100" s="48"/>
      <c r="K100" s="48"/>
      <c r="L100" s="61"/>
      <c r="M100" s="56"/>
    </row>
    <row r="101">
      <c r="A101" s="49">
        <v>45572.0</v>
      </c>
      <c r="B101" s="50">
        <v>0.36527777777777776</v>
      </c>
      <c r="C101" s="51" t="s">
        <v>46</v>
      </c>
      <c r="D101" s="51" t="s">
        <v>44</v>
      </c>
      <c r="E101" s="50">
        <v>0.76875</v>
      </c>
      <c r="F101" s="51" t="s">
        <v>220</v>
      </c>
      <c r="G101" s="51" t="s">
        <v>51</v>
      </c>
      <c r="H101" s="51">
        <v>301.5</v>
      </c>
      <c r="I101" s="53">
        <f t="shared" ref="I101:I111" si="38">E101-B101</f>
        <v>0.4034722222</v>
      </c>
      <c r="J101" s="57">
        <v>0.11458333333333333</v>
      </c>
      <c r="K101" s="59">
        <f t="shared" ref="K101:K111" si="39">I101-J101</f>
        <v>0.2888888889</v>
      </c>
      <c r="L101" s="61">
        <f t="shared" ref="L101:L111" si="40">HOUR(K101)+(MINUTE(K101)/60)</f>
        <v>6.933333333</v>
      </c>
      <c r="M101" s="56">
        <f t="shared" ref="M101:M111" si="41">H101/L101</f>
        <v>43.48557692</v>
      </c>
      <c r="N101" s="51" t="s">
        <v>221</v>
      </c>
    </row>
    <row r="102">
      <c r="A102" s="49">
        <v>45573.0</v>
      </c>
      <c r="B102" s="50">
        <v>0.39166666666666666</v>
      </c>
      <c r="C102" s="51" t="s">
        <v>220</v>
      </c>
      <c r="D102" s="51" t="s">
        <v>51</v>
      </c>
      <c r="E102" s="50">
        <v>0.6909722222222222</v>
      </c>
      <c r="F102" s="51" t="s">
        <v>222</v>
      </c>
      <c r="G102" s="51" t="s">
        <v>51</v>
      </c>
      <c r="H102" s="51">
        <v>256.3</v>
      </c>
      <c r="I102" s="53">
        <f t="shared" si="38"/>
        <v>0.2993055556</v>
      </c>
      <c r="J102" s="57">
        <v>0.10416666666666667</v>
      </c>
      <c r="K102" s="59">
        <f t="shared" si="39"/>
        <v>0.1951388889</v>
      </c>
      <c r="L102" s="61">
        <f t="shared" si="40"/>
        <v>4.683333333</v>
      </c>
      <c r="M102" s="56">
        <f t="shared" si="41"/>
        <v>54.72597865</v>
      </c>
      <c r="N102" s="51" t="s">
        <v>223</v>
      </c>
    </row>
    <row r="103">
      <c r="A103" s="49">
        <v>45575.0</v>
      </c>
      <c r="B103" s="50">
        <v>0.42430555555555555</v>
      </c>
      <c r="C103" s="51" t="s">
        <v>222</v>
      </c>
      <c r="D103" s="51" t="s">
        <v>51</v>
      </c>
      <c r="E103" s="50">
        <v>0.6576388888888889</v>
      </c>
      <c r="F103" s="51" t="s">
        <v>225</v>
      </c>
      <c r="G103" s="51" t="s">
        <v>54</v>
      </c>
      <c r="H103" s="51">
        <v>272.5</v>
      </c>
      <c r="I103" s="53">
        <f t="shared" si="38"/>
        <v>0.2333333333</v>
      </c>
      <c r="K103" s="59">
        <f t="shared" si="39"/>
        <v>0.2333333333</v>
      </c>
      <c r="L103" s="61">
        <f t="shared" si="40"/>
        <v>5.6</v>
      </c>
      <c r="M103" s="56">
        <f t="shared" si="41"/>
        <v>48.66071429</v>
      </c>
      <c r="N103" s="51" t="s">
        <v>226</v>
      </c>
    </row>
    <row r="104">
      <c r="A104" s="49">
        <v>45576.0</v>
      </c>
      <c r="B104" s="50">
        <v>0.3840277777777778</v>
      </c>
      <c r="C104" s="51" t="s">
        <v>225</v>
      </c>
      <c r="D104" s="51" t="s">
        <v>54</v>
      </c>
      <c r="E104" s="50">
        <v>0.6826388888888889</v>
      </c>
      <c r="F104" s="51" t="s">
        <v>179</v>
      </c>
      <c r="G104" s="51" t="s">
        <v>54</v>
      </c>
      <c r="H104" s="51">
        <v>239.6</v>
      </c>
      <c r="I104" s="53">
        <f t="shared" si="38"/>
        <v>0.2986111111</v>
      </c>
      <c r="J104" s="57">
        <v>0.10416666666666667</v>
      </c>
      <c r="K104" s="59">
        <f t="shared" si="39"/>
        <v>0.1944444444</v>
      </c>
      <c r="L104" s="61">
        <f t="shared" si="40"/>
        <v>4.666666667</v>
      </c>
      <c r="M104" s="56">
        <f t="shared" si="41"/>
        <v>51.34285714</v>
      </c>
      <c r="N104" s="51" t="s">
        <v>228</v>
      </c>
    </row>
    <row r="105">
      <c r="A105" s="49">
        <v>45577.0</v>
      </c>
      <c r="B105" s="50">
        <v>0.3375</v>
      </c>
      <c r="C105" s="51" t="s">
        <v>179</v>
      </c>
      <c r="D105" s="51" t="s">
        <v>54</v>
      </c>
      <c r="E105" s="50">
        <v>0.7</v>
      </c>
      <c r="F105" s="51" t="s">
        <v>229</v>
      </c>
      <c r="G105" s="51" t="s">
        <v>54</v>
      </c>
      <c r="H105" s="51">
        <v>260.4</v>
      </c>
      <c r="I105" s="53">
        <f t="shared" si="38"/>
        <v>0.3625</v>
      </c>
      <c r="J105" s="57">
        <v>0.14583333333333334</v>
      </c>
      <c r="K105" s="59">
        <f t="shared" si="39"/>
        <v>0.2166666667</v>
      </c>
      <c r="L105" s="61">
        <f t="shared" si="40"/>
        <v>5.2</v>
      </c>
      <c r="M105" s="56">
        <f t="shared" si="41"/>
        <v>50.07692308</v>
      </c>
      <c r="N105" s="51" t="s">
        <v>230</v>
      </c>
    </row>
    <row r="106">
      <c r="A106" s="49">
        <v>45578.0</v>
      </c>
      <c r="B106" s="50">
        <v>0.37569444444444444</v>
      </c>
      <c r="C106" s="51" t="s">
        <v>229</v>
      </c>
      <c r="D106" s="51" t="s">
        <v>54</v>
      </c>
      <c r="E106" s="50">
        <v>0.6416666666666667</v>
      </c>
      <c r="F106" s="51" t="s">
        <v>231</v>
      </c>
      <c r="G106" s="51" t="s">
        <v>232</v>
      </c>
      <c r="H106" s="51">
        <v>311.4</v>
      </c>
      <c r="I106" s="53">
        <f t="shared" si="38"/>
        <v>0.2659722222</v>
      </c>
      <c r="J106" s="57">
        <v>0.010416666666666666</v>
      </c>
      <c r="K106" s="59">
        <f t="shared" si="39"/>
        <v>0.2555555556</v>
      </c>
      <c r="L106" s="61">
        <f t="shared" si="40"/>
        <v>6.133333333</v>
      </c>
      <c r="M106" s="56">
        <f t="shared" si="41"/>
        <v>50.77173913</v>
      </c>
      <c r="N106" s="51" t="s">
        <v>190</v>
      </c>
    </row>
    <row r="107">
      <c r="A107" s="49">
        <v>45579.0</v>
      </c>
      <c r="B107" s="50">
        <v>0.43333333333333335</v>
      </c>
      <c r="C107" s="51" t="s">
        <v>231</v>
      </c>
      <c r="D107" s="51" t="s">
        <v>232</v>
      </c>
      <c r="E107" s="50">
        <v>0.5965277777777778</v>
      </c>
      <c r="F107" s="51" t="s">
        <v>234</v>
      </c>
      <c r="G107" s="51" t="s">
        <v>232</v>
      </c>
      <c r="H107" s="51">
        <v>225.8</v>
      </c>
      <c r="I107" s="53">
        <f t="shared" si="38"/>
        <v>0.1631944444</v>
      </c>
      <c r="J107" s="57">
        <v>0.006944444444444444</v>
      </c>
      <c r="K107" s="59">
        <f t="shared" si="39"/>
        <v>0.15625</v>
      </c>
      <c r="L107" s="61">
        <f t="shared" si="40"/>
        <v>3.75</v>
      </c>
      <c r="M107" s="56">
        <f t="shared" si="41"/>
        <v>60.21333333</v>
      </c>
      <c r="N107" s="51" t="s">
        <v>190</v>
      </c>
    </row>
    <row r="108">
      <c r="A108" s="49">
        <v>45580.0</v>
      </c>
      <c r="B108" s="50">
        <v>0.37916666666666665</v>
      </c>
      <c r="C108" s="51" t="s">
        <v>234</v>
      </c>
      <c r="D108" s="51" t="s">
        <v>232</v>
      </c>
      <c r="E108" s="50">
        <v>0.5819444444444445</v>
      </c>
      <c r="F108" s="51" t="s">
        <v>130</v>
      </c>
      <c r="G108" s="51" t="s">
        <v>24</v>
      </c>
      <c r="H108" s="51">
        <v>255.6</v>
      </c>
      <c r="I108" s="53">
        <f t="shared" si="38"/>
        <v>0.2027777778</v>
      </c>
      <c r="K108" s="59">
        <f t="shared" si="39"/>
        <v>0.2027777778</v>
      </c>
      <c r="L108" s="61">
        <f t="shared" si="40"/>
        <v>4.866666667</v>
      </c>
      <c r="M108" s="56">
        <f t="shared" si="41"/>
        <v>52.52054795</v>
      </c>
      <c r="O108" s="38">
        <f>sum(H101:H111)</f>
        <v>2698.7</v>
      </c>
    </row>
    <row r="109">
      <c r="A109" s="49">
        <v>45583.0</v>
      </c>
      <c r="B109" s="50">
        <v>0.4513888888888889</v>
      </c>
      <c r="C109" s="51" t="s">
        <v>130</v>
      </c>
      <c r="D109" s="51" t="s">
        <v>24</v>
      </c>
      <c r="E109" s="50">
        <v>0.6847222222222222</v>
      </c>
      <c r="F109" s="51" t="s">
        <v>237</v>
      </c>
      <c r="G109" s="51" t="s">
        <v>63</v>
      </c>
      <c r="H109" s="51">
        <v>207.9</v>
      </c>
      <c r="I109" s="53">
        <f t="shared" si="38"/>
        <v>0.2333333333</v>
      </c>
      <c r="J109" s="57">
        <v>0.07291666666666667</v>
      </c>
      <c r="K109" s="59">
        <f t="shared" si="39"/>
        <v>0.1604166667</v>
      </c>
      <c r="L109" s="61">
        <f t="shared" si="40"/>
        <v>3.85</v>
      </c>
      <c r="M109" s="56">
        <f t="shared" si="41"/>
        <v>54</v>
      </c>
      <c r="N109" s="51" t="s">
        <v>131</v>
      </c>
    </row>
    <row r="110">
      <c r="A110" s="49">
        <v>45584.0</v>
      </c>
      <c r="B110" s="50">
        <v>0.4131944444444444</v>
      </c>
      <c r="C110" s="51" t="s">
        <v>237</v>
      </c>
      <c r="D110" s="51" t="s">
        <v>63</v>
      </c>
      <c r="E110" s="50">
        <v>0.6458333333333334</v>
      </c>
      <c r="F110" s="51" t="s">
        <v>238</v>
      </c>
      <c r="G110" s="51" t="s">
        <v>66</v>
      </c>
      <c r="H110" s="51">
        <v>317.4</v>
      </c>
      <c r="I110" s="53">
        <f t="shared" si="38"/>
        <v>0.2326388889</v>
      </c>
      <c r="K110" s="59">
        <f t="shared" si="39"/>
        <v>0.2326388889</v>
      </c>
      <c r="L110" s="61">
        <f t="shared" si="40"/>
        <v>5.583333333</v>
      </c>
      <c r="M110" s="56">
        <f t="shared" si="41"/>
        <v>56.84776119</v>
      </c>
    </row>
    <row r="111">
      <c r="A111" s="49">
        <v>45585.0</v>
      </c>
      <c r="B111" s="50">
        <v>0.37569444444444444</v>
      </c>
      <c r="C111" s="51" t="s">
        <v>238</v>
      </c>
      <c r="D111" s="51" t="s">
        <v>66</v>
      </c>
      <c r="E111" s="50">
        <v>0.5951388888888889</v>
      </c>
      <c r="F111" s="51" t="s">
        <v>65</v>
      </c>
      <c r="G111" s="51" t="s">
        <v>66</v>
      </c>
      <c r="H111" s="51">
        <v>50.3</v>
      </c>
      <c r="I111" s="53">
        <f t="shared" si="38"/>
        <v>0.2194444444</v>
      </c>
      <c r="J111" s="57">
        <v>0.1875</v>
      </c>
      <c r="K111" s="59">
        <f t="shared" si="39"/>
        <v>0.03194444444</v>
      </c>
      <c r="L111" s="61">
        <f t="shared" si="40"/>
        <v>0.7666666667</v>
      </c>
      <c r="M111" s="56">
        <f t="shared" si="41"/>
        <v>65.60869565</v>
      </c>
      <c r="N111" s="51" t="s">
        <v>241</v>
      </c>
    </row>
    <row r="112">
      <c r="J112" s="48"/>
      <c r="K112" s="48"/>
      <c r="L112" s="48"/>
    </row>
    <row r="113">
      <c r="A113" s="65">
        <v>44462.0</v>
      </c>
      <c r="C113" s="51" t="s">
        <v>243</v>
      </c>
      <c r="D113" s="66">
        <v>30290.0</v>
      </c>
      <c r="J113" s="48"/>
      <c r="K113" s="48"/>
      <c r="L113" s="48"/>
    </row>
    <row r="114">
      <c r="A114" s="49">
        <v>45585.0</v>
      </c>
      <c r="C114" s="51" t="s">
        <v>244</v>
      </c>
      <c r="D114" s="66">
        <v>58987.0</v>
      </c>
      <c r="J114" s="48"/>
      <c r="K114" s="48"/>
      <c r="L114" s="48"/>
    </row>
    <row r="115">
      <c r="C115" s="67" t="s">
        <v>245</v>
      </c>
      <c r="D115" s="68">
        <f>D114-D113</f>
        <v>28697</v>
      </c>
      <c r="E115" s="67" t="s">
        <v>246</v>
      </c>
      <c r="J115" s="48"/>
      <c r="K115" s="48"/>
      <c r="L115" s="48"/>
    </row>
    <row r="116">
      <c r="C116" s="67" t="s">
        <v>247</v>
      </c>
      <c r="D116" s="69">
        <f>days(A114,A113)</f>
        <v>1123</v>
      </c>
      <c r="E116" s="67" t="s">
        <v>249</v>
      </c>
      <c r="J116" s="48"/>
      <c r="K116" s="48"/>
      <c r="L116" s="48"/>
    </row>
    <row r="117">
      <c r="D117" s="70">
        <f>D116/365</f>
        <v>3.076712329</v>
      </c>
      <c r="E117" s="67" t="s">
        <v>251</v>
      </c>
      <c r="J117" s="48"/>
      <c r="K117" s="48"/>
      <c r="L117" s="48"/>
    </row>
    <row r="118">
      <c r="J118" s="48"/>
      <c r="K118" s="48"/>
      <c r="L118" s="48"/>
    </row>
    <row r="119">
      <c r="D119" s="69">
        <f>D113/D117</f>
        <v>9844.92431</v>
      </c>
      <c r="E119" s="67" t="s">
        <v>253</v>
      </c>
      <c r="J119" s="48"/>
      <c r="K119" s="48"/>
      <c r="L119" s="48"/>
    </row>
    <row r="120">
      <c r="J120" s="48"/>
      <c r="K120" s="48"/>
      <c r="L120" s="48"/>
    </row>
    <row r="121">
      <c r="J121" s="48"/>
      <c r="K121" s="48"/>
      <c r="L121" s="48"/>
    </row>
    <row r="122">
      <c r="J122" s="48"/>
      <c r="K122" s="48"/>
      <c r="L122" s="48"/>
    </row>
    <row r="123">
      <c r="J123" s="48"/>
      <c r="K123" s="48"/>
      <c r="L123" s="48"/>
    </row>
    <row r="124">
      <c r="J124" s="48"/>
      <c r="K124" s="48"/>
      <c r="L124" s="48"/>
    </row>
    <row r="125">
      <c r="J125" s="48"/>
      <c r="K125" s="48"/>
      <c r="L125" s="48"/>
    </row>
    <row r="126">
      <c r="J126" s="48"/>
      <c r="K126" s="48"/>
      <c r="L126" s="48"/>
    </row>
    <row r="127">
      <c r="J127" s="48"/>
      <c r="K127" s="48"/>
      <c r="L127" s="48"/>
    </row>
    <row r="128">
      <c r="J128" s="48"/>
      <c r="K128" s="48"/>
      <c r="L128" s="48"/>
    </row>
    <row r="129">
      <c r="J129" s="48"/>
      <c r="K129" s="48"/>
      <c r="L129" s="48"/>
    </row>
    <row r="130">
      <c r="J130" s="48"/>
      <c r="K130" s="48"/>
      <c r="L130" s="48"/>
    </row>
    <row r="131">
      <c r="J131" s="48"/>
      <c r="K131" s="48"/>
      <c r="L131" s="48"/>
    </row>
    <row r="132">
      <c r="J132" s="48"/>
      <c r="K132" s="48"/>
      <c r="L132" s="48"/>
    </row>
    <row r="133">
      <c r="J133" s="48"/>
      <c r="K133" s="48"/>
      <c r="L133" s="48"/>
    </row>
    <row r="134">
      <c r="J134" s="48"/>
      <c r="K134" s="48"/>
      <c r="L134" s="48"/>
    </row>
    <row r="135">
      <c r="J135" s="48"/>
      <c r="K135" s="48"/>
      <c r="L135" s="48"/>
    </row>
    <row r="136">
      <c r="J136" s="48"/>
      <c r="K136" s="48"/>
      <c r="L136" s="48"/>
    </row>
    <row r="137">
      <c r="J137" s="48"/>
      <c r="K137" s="48"/>
      <c r="L137" s="48"/>
    </row>
    <row r="138">
      <c r="J138" s="48"/>
      <c r="K138" s="48"/>
      <c r="L138" s="48"/>
    </row>
    <row r="139">
      <c r="J139" s="48"/>
      <c r="K139" s="48"/>
      <c r="L139" s="48"/>
    </row>
    <row r="140">
      <c r="J140" s="48"/>
      <c r="K140" s="48"/>
      <c r="L140" s="48"/>
    </row>
    <row r="141">
      <c r="J141" s="48"/>
      <c r="K141" s="48"/>
      <c r="L141" s="48"/>
    </row>
    <row r="142">
      <c r="J142" s="48"/>
      <c r="K142" s="48"/>
      <c r="L142" s="48"/>
    </row>
    <row r="143">
      <c r="J143" s="48"/>
      <c r="K143" s="48"/>
      <c r="L143" s="48"/>
    </row>
    <row r="144">
      <c r="J144" s="48"/>
      <c r="K144" s="48"/>
      <c r="L144" s="48"/>
    </row>
    <row r="145">
      <c r="J145" s="48"/>
      <c r="K145" s="48"/>
      <c r="L145" s="48"/>
    </row>
    <row r="146">
      <c r="J146" s="48"/>
      <c r="K146" s="48"/>
      <c r="L146" s="48"/>
    </row>
    <row r="147">
      <c r="J147" s="48"/>
      <c r="K147" s="48"/>
      <c r="L147" s="48"/>
    </row>
    <row r="148">
      <c r="J148" s="48"/>
      <c r="K148" s="48"/>
      <c r="L148" s="48"/>
    </row>
    <row r="149">
      <c r="J149" s="48"/>
      <c r="K149" s="48"/>
      <c r="L149" s="48"/>
    </row>
    <row r="150">
      <c r="J150" s="48"/>
      <c r="K150" s="48"/>
      <c r="L150" s="48"/>
    </row>
    <row r="151">
      <c r="J151" s="48"/>
      <c r="K151" s="48"/>
      <c r="L151" s="48"/>
    </row>
    <row r="152">
      <c r="J152" s="48"/>
      <c r="K152" s="48"/>
      <c r="L152" s="48"/>
    </row>
    <row r="153">
      <c r="J153" s="48"/>
      <c r="K153" s="48"/>
      <c r="L153" s="48"/>
    </row>
    <row r="154">
      <c r="J154" s="48"/>
      <c r="K154" s="48"/>
      <c r="L154" s="48"/>
    </row>
    <row r="155">
      <c r="J155" s="48"/>
      <c r="K155" s="48"/>
      <c r="L155" s="48"/>
    </row>
    <row r="156">
      <c r="J156" s="48"/>
      <c r="K156" s="48"/>
      <c r="L156" s="48"/>
    </row>
    <row r="157">
      <c r="J157" s="48"/>
      <c r="K157" s="48"/>
      <c r="L157" s="48"/>
    </row>
    <row r="158">
      <c r="J158" s="48"/>
      <c r="K158" s="48"/>
      <c r="L158" s="48"/>
    </row>
    <row r="159">
      <c r="J159" s="48"/>
      <c r="K159" s="48"/>
      <c r="L159" s="48"/>
    </row>
    <row r="160">
      <c r="J160" s="48"/>
      <c r="K160" s="48"/>
      <c r="L160" s="48"/>
    </row>
    <row r="161">
      <c r="J161" s="48"/>
      <c r="K161" s="48"/>
      <c r="L161" s="48"/>
    </row>
    <row r="162">
      <c r="J162" s="48"/>
      <c r="K162" s="48"/>
      <c r="L162" s="48"/>
    </row>
    <row r="163">
      <c r="J163" s="48"/>
      <c r="K163" s="48"/>
      <c r="L163" s="48"/>
    </row>
    <row r="164">
      <c r="J164" s="48"/>
      <c r="K164" s="48"/>
      <c r="L164" s="48"/>
    </row>
    <row r="165">
      <c r="J165" s="48"/>
      <c r="K165" s="48"/>
      <c r="L165" s="48"/>
    </row>
    <row r="166">
      <c r="J166" s="48"/>
      <c r="K166" s="48"/>
      <c r="L166" s="48"/>
    </row>
    <row r="167">
      <c r="J167" s="48"/>
      <c r="K167" s="48"/>
      <c r="L167" s="48"/>
    </row>
    <row r="168">
      <c r="J168" s="48"/>
      <c r="K168" s="48"/>
      <c r="L168" s="48"/>
    </row>
    <row r="169">
      <c r="J169" s="48"/>
      <c r="K169" s="48"/>
      <c r="L169" s="48"/>
    </row>
    <row r="170">
      <c r="J170" s="48"/>
      <c r="K170" s="48"/>
      <c r="L170" s="48"/>
    </row>
    <row r="171">
      <c r="J171" s="48"/>
      <c r="K171" s="48"/>
      <c r="L171" s="48"/>
    </row>
    <row r="172">
      <c r="J172" s="48"/>
      <c r="K172" s="48"/>
      <c r="L172" s="48"/>
    </row>
    <row r="173">
      <c r="J173" s="48"/>
      <c r="K173" s="48"/>
      <c r="L173" s="48"/>
    </row>
    <row r="174">
      <c r="J174" s="48"/>
      <c r="K174" s="48"/>
      <c r="L174" s="48"/>
    </row>
    <row r="175">
      <c r="J175" s="48"/>
      <c r="K175" s="48"/>
      <c r="L175" s="48"/>
    </row>
    <row r="176">
      <c r="J176" s="48"/>
      <c r="K176" s="48"/>
      <c r="L176" s="48"/>
    </row>
    <row r="177">
      <c r="J177" s="48"/>
      <c r="K177" s="48"/>
      <c r="L177" s="48"/>
    </row>
    <row r="178">
      <c r="J178" s="48"/>
      <c r="K178" s="48"/>
      <c r="L178" s="48"/>
    </row>
    <row r="179">
      <c r="J179" s="48"/>
      <c r="K179" s="48"/>
      <c r="L179" s="48"/>
    </row>
    <row r="180">
      <c r="J180" s="48"/>
      <c r="K180" s="48"/>
      <c r="L180" s="48"/>
    </row>
    <row r="181">
      <c r="J181" s="48"/>
      <c r="K181" s="48"/>
      <c r="L181" s="48"/>
    </row>
    <row r="182">
      <c r="J182" s="48"/>
      <c r="K182" s="48"/>
      <c r="L182" s="48"/>
    </row>
    <row r="183">
      <c r="J183" s="48"/>
      <c r="K183" s="48"/>
      <c r="L183" s="48"/>
    </row>
    <row r="184">
      <c r="J184" s="48"/>
      <c r="K184" s="48"/>
      <c r="L184" s="48"/>
    </row>
    <row r="185">
      <c r="J185" s="48"/>
      <c r="K185" s="48"/>
      <c r="L185" s="48"/>
    </row>
    <row r="186">
      <c r="J186" s="48"/>
      <c r="K186" s="48"/>
      <c r="L186" s="48"/>
    </row>
    <row r="187">
      <c r="J187" s="48"/>
      <c r="K187" s="48"/>
      <c r="L187" s="48"/>
    </row>
    <row r="188">
      <c r="J188" s="48"/>
      <c r="K188" s="48"/>
      <c r="L188" s="48"/>
    </row>
    <row r="189">
      <c r="J189" s="48"/>
      <c r="K189" s="48"/>
      <c r="L189" s="48"/>
    </row>
    <row r="190">
      <c r="J190" s="48"/>
      <c r="K190" s="48"/>
      <c r="L190" s="48"/>
    </row>
    <row r="191">
      <c r="J191" s="48"/>
      <c r="K191" s="48"/>
      <c r="L191" s="48"/>
    </row>
    <row r="192">
      <c r="J192" s="48"/>
      <c r="K192" s="48"/>
      <c r="L192" s="48"/>
    </row>
    <row r="193">
      <c r="J193" s="48"/>
      <c r="K193" s="48"/>
      <c r="L193" s="48"/>
    </row>
    <row r="194">
      <c r="J194" s="48"/>
      <c r="K194" s="48"/>
      <c r="L194" s="48"/>
    </row>
    <row r="195">
      <c r="J195" s="48"/>
      <c r="K195" s="48"/>
      <c r="L195" s="48"/>
    </row>
    <row r="196">
      <c r="J196" s="48"/>
      <c r="K196" s="48"/>
      <c r="L196" s="48"/>
    </row>
    <row r="197">
      <c r="J197" s="48"/>
      <c r="K197" s="48"/>
      <c r="L197" s="48"/>
    </row>
    <row r="198">
      <c r="J198" s="48"/>
      <c r="K198" s="48"/>
      <c r="L198" s="48"/>
    </row>
    <row r="199">
      <c r="J199" s="48"/>
      <c r="K199" s="48"/>
      <c r="L199" s="48"/>
    </row>
    <row r="200">
      <c r="J200" s="48"/>
      <c r="K200" s="48"/>
      <c r="L200" s="48"/>
    </row>
    <row r="201">
      <c r="J201" s="48"/>
      <c r="K201" s="48"/>
      <c r="L201" s="48"/>
    </row>
    <row r="202">
      <c r="J202" s="48"/>
      <c r="K202" s="48"/>
      <c r="L202" s="48"/>
    </row>
    <row r="203">
      <c r="J203" s="48"/>
      <c r="K203" s="48"/>
      <c r="L203" s="48"/>
    </row>
    <row r="204">
      <c r="J204" s="48"/>
      <c r="K204" s="48"/>
      <c r="L204" s="48"/>
    </row>
    <row r="205">
      <c r="J205" s="48"/>
      <c r="K205" s="48"/>
      <c r="L205" s="48"/>
    </row>
    <row r="206">
      <c r="J206" s="48"/>
      <c r="K206" s="48"/>
      <c r="L206" s="48"/>
    </row>
    <row r="207">
      <c r="J207" s="48"/>
      <c r="K207" s="48"/>
      <c r="L207" s="48"/>
    </row>
    <row r="208">
      <c r="J208" s="48"/>
      <c r="K208" s="48"/>
      <c r="L208" s="48"/>
    </row>
    <row r="209">
      <c r="J209" s="48"/>
      <c r="K209" s="48"/>
      <c r="L209" s="48"/>
    </row>
    <row r="210">
      <c r="J210" s="48"/>
      <c r="K210" s="48"/>
      <c r="L210" s="48"/>
    </row>
    <row r="211">
      <c r="J211" s="48"/>
      <c r="K211" s="48"/>
      <c r="L211" s="48"/>
    </row>
    <row r="212">
      <c r="J212" s="48"/>
      <c r="K212" s="48"/>
      <c r="L212" s="48"/>
    </row>
    <row r="213">
      <c r="J213" s="48"/>
      <c r="K213" s="48"/>
      <c r="L213" s="48"/>
    </row>
    <row r="214">
      <c r="J214" s="48"/>
      <c r="K214" s="48"/>
      <c r="L214" s="48"/>
    </row>
    <row r="215">
      <c r="J215" s="48"/>
      <c r="K215" s="48"/>
      <c r="L215" s="48"/>
    </row>
    <row r="216">
      <c r="J216" s="48"/>
      <c r="K216" s="48"/>
      <c r="L216" s="48"/>
    </row>
    <row r="217">
      <c r="J217" s="48"/>
      <c r="K217" s="48"/>
      <c r="L217" s="48"/>
    </row>
    <row r="218">
      <c r="J218" s="48"/>
      <c r="K218" s="48"/>
      <c r="L218" s="48"/>
    </row>
    <row r="219">
      <c r="J219" s="48"/>
      <c r="K219" s="48"/>
      <c r="L219" s="48"/>
    </row>
    <row r="220">
      <c r="J220" s="48"/>
      <c r="K220" s="48"/>
      <c r="L220" s="48"/>
    </row>
    <row r="221">
      <c r="J221" s="48"/>
      <c r="K221" s="48"/>
      <c r="L221" s="48"/>
    </row>
    <row r="222">
      <c r="J222" s="48"/>
      <c r="K222" s="48"/>
      <c r="L222" s="48"/>
    </row>
    <row r="223">
      <c r="J223" s="48"/>
      <c r="K223" s="48"/>
      <c r="L223" s="48"/>
    </row>
    <row r="224">
      <c r="J224" s="48"/>
      <c r="K224" s="48"/>
      <c r="L224" s="48"/>
    </row>
    <row r="225">
      <c r="J225" s="48"/>
      <c r="K225" s="48"/>
      <c r="L225" s="48"/>
    </row>
    <row r="226">
      <c r="J226" s="48"/>
      <c r="K226" s="48"/>
      <c r="L226" s="48"/>
    </row>
    <row r="227">
      <c r="J227" s="48"/>
      <c r="K227" s="48"/>
      <c r="L227" s="48"/>
    </row>
    <row r="228">
      <c r="J228" s="48"/>
      <c r="K228" s="48"/>
      <c r="L228" s="48"/>
    </row>
    <row r="229">
      <c r="J229" s="48"/>
      <c r="K229" s="48"/>
      <c r="L229" s="48"/>
    </row>
    <row r="230">
      <c r="J230" s="48"/>
      <c r="K230" s="48"/>
      <c r="L230" s="48"/>
    </row>
    <row r="231">
      <c r="J231" s="48"/>
      <c r="K231" s="48"/>
      <c r="L231" s="48"/>
    </row>
    <row r="232">
      <c r="J232" s="48"/>
      <c r="K232" s="48"/>
      <c r="L232" s="48"/>
    </row>
    <row r="233">
      <c r="J233" s="48"/>
      <c r="K233" s="48"/>
      <c r="L233" s="48"/>
    </row>
    <row r="234">
      <c r="J234" s="48"/>
      <c r="K234" s="48"/>
      <c r="L234" s="48"/>
    </row>
    <row r="235">
      <c r="J235" s="48"/>
      <c r="K235" s="48"/>
      <c r="L235" s="48"/>
    </row>
    <row r="236">
      <c r="J236" s="48"/>
      <c r="K236" s="48"/>
      <c r="L236" s="48"/>
    </row>
    <row r="237">
      <c r="J237" s="48"/>
      <c r="K237" s="48"/>
      <c r="L237" s="48"/>
    </row>
    <row r="238">
      <c r="J238" s="48"/>
      <c r="K238" s="48"/>
      <c r="L238" s="48"/>
    </row>
    <row r="239">
      <c r="J239" s="48"/>
      <c r="K239" s="48"/>
      <c r="L239" s="48"/>
    </row>
    <row r="240">
      <c r="J240" s="48"/>
      <c r="K240" s="48"/>
      <c r="L240" s="48"/>
    </row>
    <row r="241">
      <c r="J241" s="48"/>
      <c r="K241" s="48"/>
      <c r="L241" s="48"/>
    </row>
    <row r="242">
      <c r="J242" s="48"/>
      <c r="K242" s="48"/>
      <c r="L242" s="48"/>
    </row>
    <row r="243">
      <c r="J243" s="48"/>
      <c r="K243" s="48"/>
      <c r="L243" s="48"/>
    </row>
    <row r="244">
      <c r="J244" s="48"/>
      <c r="K244" s="48"/>
      <c r="L244" s="48"/>
    </row>
    <row r="245">
      <c r="J245" s="48"/>
      <c r="K245" s="48"/>
      <c r="L245" s="48"/>
    </row>
    <row r="246">
      <c r="J246" s="48"/>
      <c r="K246" s="48"/>
      <c r="L246" s="48"/>
    </row>
    <row r="247">
      <c r="J247" s="48"/>
      <c r="K247" s="48"/>
      <c r="L247" s="48"/>
    </row>
    <row r="248">
      <c r="J248" s="48"/>
      <c r="K248" s="48"/>
      <c r="L248" s="48"/>
    </row>
    <row r="249">
      <c r="J249" s="48"/>
      <c r="K249" s="48"/>
      <c r="L249" s="48"/>
    </row>
    <row r="250">
      <c r="J250" s="48"/>
      <c r="K250" s="48"/>
      <c r="L250" s="48"/>
    </row>
    <row r="251">
      <c r="J251" s="48"/>
      <c r="K251" s="48"/>
      <c r="L251" s="48"/>
    </row>
    <row r="252">
      <c r="J252" s="48"/>
      <c r="K252" s="48"/>
      <c r="L252" s="48"/>
    </row>
    <row r="253">
      <c r="J253" s="48"/>
      <c r="K253" s="48"/>
      <c r="L253" s="48"/>
    </row>
    <row r="254">
      <c r="J254" s="48"/>
      <c r="K254" s="48"/>
      <c r="L254" s="48"/>
    </row>
    <row r="255">
      <c r="J255" s="48"/>
      <c r="K255" s="48"/>
      <c r="L255" s="48"/>
    </row>
    <row r="256">
      <c r="J256" s="48"/>
      <c r="K256" s="48"/>
      <c r="L256" s="48"/>
    </row>
    <row r="257">
      <c r="J257" s="48"/>
      <c r="K257" s="48"/>
      <c r="L257" s="48"/>
    </row>
    <row r="258">
      <c r="J258" s="48"/>
      <c r="K258" s="48"/>
      <c r="L258" s="48"/>
    </row>
    <row r="259">
      <c r="J259" s="48"/>
      <c r="K259" s="48"/>
      <c r="L259" s="48"/>
    </row>
    <row r="260">
      <c r="J260" s="48"/>
      <c r="K260" s="48"/>
      <c r="L260" s="48"/>
    </row>
    <row r="261">
      <c r="J261" s="48"/>
      <c r="K261" s="48"/>
      <c r="L261" s="48"/>
    </row>
    <row r="262">
      <c r="J262" s="48"/>
      <c r="K262" s="48"/>
      <c r="L262" s="48"/>
    </row>
    <row r="263">
      <c r="J263" s="48"/>
      <c r="K263" s="48"/>
      <c r="L263" s="48"/>
    </row>
    <row r="264">
      <c r="J264" s="48"/>
      <c r="K264" s="48"/>
      <c r="L264" s="48"/>
    </row>
    <row r="265">
      <c r="J265" s="48"/>
      <c r="K265" s="48"/>
      <c r="L265" s="48"/>
    </row>
    <row r="266">
      <c r="J266" s="48"/>
      <c r="K266" s="48"/>
      <c r="L266" s="48"/>
    </row>
    <row r="267">
      <c r="J267" s="48"/>
      <c r="K267" s="48"/>
      <c r="L267" s="48"/>
    </row>
    <row r="268">
      <c r="J268" s="48"/>
      <c r="K268" s="48"/>
      <c r="L268" s="48"/>
    </row>
    <row r="269">
      <c r="J269" s="48"/>
      <c r="K269" s="48"/>
      <c r="L269" s="48"/>
    </row>
    <row r="270">
      <c r="J270" s="48"/>
      <c r="K270" s="48"/>
      <c r="L270" s="48"/>
    </row>
    <row r="271">
      <c r="J271" s="48"/>
      <c r="K271" s="48"/>
      <c r="L271" s="48"/>
    </row>
    <row r="272">
      <c r="J272" s="48"/>
      <c r="K272" s="48"/>
      <c r="L272" s="48"/>
    </row>
    <row r="273">
      <c r="J273" s="48"/>
      <c r="K273" s="48"/>
      <c r="L273" s="48"/>
    </row>
    <row r="274">
      <c r="J274" s="48"/>
      <c r="K274" s="48"/>
      <c r="L274" s="48"/>
    </row>
    <row r="275">
      <c r="J275" s="48"/>
      <c r="K275" s="48"/>
      <c r="L275" s="48"/>
    </row>
    <row r="276">
      <c r="J276" s="48"/>
      <c r="K276" s="48"/>
      <c r="L276" s="48"/>
    </row>
    <row r="277">
      <c r="J277" s="48"/>
      <c r="K277" s="48"/>
      <c r="L277" s="48"/>
    </row>
    <row r="278">
      <c r="J278" s="48"/>
      <c r="K278" s="48"/>
      <c r="L278" s="48"/>
    </row>
    <row r="279">
      <c r="J279" s="48"/>
      <c r="K279" s="48"/>
      <c r="L279" s="48"/>
    </row>
    <row r="280">
      <c r="J280" s="48"/>
      <c r="K280" s="48"/>
      <c r="L280" s="48"/>
    </row>
    <row r="281">
      <c r="J281" s="48"/>
      <c r="K281" s="48"/>
      <c r="L281" s="48"/>
    </row>
    <row r="282">
      <c r="J282" s="48"/>
      <c r="K282" s="48"/>
      <c r="L282" s="48"/>
    </row>
    <row r="283">
      <c r="J283" s="48"/>
      <c r="K283" s="48"/>
      <c r="L283" s="48"/>
    </row>
    <row r="284">
      <c r="J284" s="48"/>
      <c r="K284" s="48"/>
      <c r="L284" s="48"/>
    </row>
    <row r="285">
      <c r="J285" s="48"/>
      <c r="K285" s="48"/>
      <c r="L285" s="48"/>
    </row>
    <row r="286">
      <c r="J286" s="48"/>
      <c r="K286" s="48"/>
      <c r="L286" s="48"/>
    </row>
    <row r="287">
      <c r="J287" s="48"/>
      <c r="K287" s="48"/>
      <c r="L287" s="48"/>
    </row>
    <row r="288">
      <c r="J288" s="48"/>
      <c r="K288" s="48"/>
      <c r="L288" s="48"/>
    </row>
    <row r="289">
      <c r="J289" s="48"/>
      <c r="K289" s="48"/>
      <c r="L289" s="48"/>
    </row>
    <row r="290">
      <c r="J290" s="48"/>
      <c r="K290" s="48"/>
      <c r="L290" s="48"/>
    </row>
    <row r="291">
      <c r="J291" s="48"/>
      <c r="K291" s="48"/>
      <c r="L291" s="48"/>
    </row>
    <row r="292">
      <c r="J292" s="48"/>
      <c r="K292" s="48"/>
      <c r="L292" s="48"/>
    </row>
    <row r="293">
      <c r="J293" s="48"/>
      <c r="K293" s="48"/>
      <c r="L293" s="48"/>
    </row>
    <row r="294">
      <c r="J294" s="48"/>
      <c r="K294" s="48"/>
      <c r="L294" s="48"/>
    </row>
    <row r="295">
      <c r="J295" s="48"/>
      <c r="K295" s="48"/>
      <c r="L295" s="48"/>
    </row>
    <row r="296">
      <c r="J296" s="48"/>
      <c r="K296" s="48"/>
      <c r="L296" s="48"/>
    </row>
    <row r="297">
      <c r="J297" s="48"/>
      <c r="K297" s="48"/>
      <c r="L297" s="48"/>
    </row>
    <row r="298">
      <c r="J298" s="48"/>
      <c r="K298" s="48"/>
      <c r="L298" s="48"/>
    </row>
    <row r="299">
      <c r="J299" s="48"/>
      <c r="K299" s="48"/>
      <c r="L299" s="48"/>
    </row>
    <row r="300">
      <c r="J300" s="48"/>
      <c r="K300" s="48"/>
      <c r="L300" s="48"/>
    </row>
    <row r="301">
      <c r="J301" s="48"/>
      <c r="K301" s="48"/>
      <c r="L301" s="48"/>
    </row>
    <row r="302">
      <c r="J302" s="48"/>
      <c r="K302" s="48"/>
      <c r="L302" s="48"/>
    </row>
    <row r="303">
      <c r="J303" s="48"/>
      <c r="K303" s="48"/>
      <c r="L303" s="48"/>
    </row>
    <row r="304">
      <c r="J304" s="48"/>
      <c r="K304" s="48"/>
      <c r="L304" s="48"/>
    </row>
    <row r="305">
      <c r="J305" s="48"/>
      <c r="K305" s="48"/>
      <c r="L305" s="48"/>
    </row>
    <row r="306">
      <c r="J306" s="48"/>
      <c r="K306" s="48"/>
      <c r="L306" s="48"/>
    </row>
    <row r="307">
      <c r="J307" s="48"/>
      <c r="K307" s="48"/>
      <c r="L307" s="48"/>
    </row>
    <row r="308">
      <c r="J308" s="48"/>
      <c r="K308" s="48"/>
      <c r="L308" s="48"/>
    </row>
    <row r="309">
      <c r="J309" s="48"/>
      <c r="K309" s="48"/>
      <c r="L309" s="48"/>
    </row>
    <row r="310">
      <c r="J310" s="48"/>
      <c r="K310" s="48"/>
      <c r="L310" s="48"/>
    </row>
    <row r="311">
      <c r="J311" s="48"/>
      <c r="K311" s="48"/>
      <c r="L311" s="48"/>
    </row>
    <row r="312">
      <c r="J312" s="48"/>
      <c r="K312" s="48"/>
      <c r="L312" s="48"/>
    </row>
    <row r="313">
      <c r="J313" s="48"/>
      <c r="K313" s="48"/>
      <c r="L313" s="48"/>
    </row>
    <row r="314">
      <c r="J314" s="48"/>
      <c r="K314" s="48"/>
      <c r="L314" s="48"/>
    </row>
    <row r="315">
      <c r="J315" s="48"/>
      <c r="K315" s="48"/>
      <c r="L315" s="48"/>
    </row>
    <row r="316">
      <c r="J316" s="48"/>
      <c r="K316" s="48"/>
      <c r="L316" s="48"/>
    </row>
    <row r="317">
      <c r="J317" s="48"/>
      <c r="K317" s="48"/>
      <c r="L317" s="48"/>
    </row>
    <row r="318">
      <c r="J318" s="48"/>
      <c r="K318" s="48"/>
      <c r="L318" s="48"/>
    </row>
    <row r="319">
      <c r="J319" s="48"/>
      <c r="K319" s="48"/>
      <c r="L319" s="48"/>
    </row>
    <row r="320">
      <c r="J320" s="48"/>
      <c r="K320" s="48"/>
      <c r="L320" s="48"/>
    </row>
    <row r="321">
      <c r="J321" s="48"/>
      <c r="K321" s="48"/>
      <c r="L321" s="48"/>
    </row>
    <row r="322">
      <c r="J322" s="48"/>
      <c r="K322" s="48"/>
      <c r="L322" s="48"/>
    </row>
    <row r="323">
      <c r="J323" s="48"/>
      <c r="K323" s="48"/>
      <c r="L323" s="48"/>
    </row>
    <row r="324">
      <c r="J324" s="48"/>
      <c r="K324" s="48"/>
      <c r="L324" s="48"/>
    </row>
    <row r="325">
      <c r="J325" s="48"/>
      <c r="K325" s="48"/>
      <c r="L325" s="48"/>
    </row>
    <row r="326">
      <c r="J326" s="48"/>
      <c r="K326" s="48"/>
      <c r="L326" s="48"/>
    </row>
    <row r="327">
      <c r="J327" s="48"/>
      <c r="K327" s="48"/>
      <c r="L327" s="48"/>
    </row>
    <row r="328">
      <c r="J328" s="48"/>
      <c r="K328" s="48"/>
      <c r="L328" s="48"/>
    </row>
    <row r="329">
      <c r="J329" s="48"/>
      <c r="K329" s="48"/>
      <c r="L329" s="48"/>
    </row>
    <row r="330">
      <c r="J330" s="48"/>
      <c r="K330" s="48"/>
      <c r="L330" s="48"/>
    </row>
    <row r="331">
      <c r="J331" s="48"/>
      <c r="K331" s="48"/>
      <c r="L331" s="48"/>
    </row>
    <row r="332">
      <c r="J332" s="48"/>
      <c r="K332" s="48"/>
      <c r="L332" s="48"/>
    </row>
    <row r="333">
      <c r="J333" s="48"/>
      <c r="K333" s="48"/>
      <c r="L333" s="48"/>
    </row>
    <row r="334">
      <c r="J334" s="48"/>
      <c r="K334" s="48"/>
      <c r="L334" s="48"/>
    </row>
    <row r="335">
      <c r="J335" s="48"/>
      <c r="K335" s="48"/>
      <c r="L335" s="48"/>
    </row>
    <row r="336">
      <c r="J336" s="48"/>
      <c r="K336" s="48"/>
      <c r="L336" s="48"/>
    </row>
    <row r="337">
      <c r="J337" s="48"/>
      <c r="K337" s="48"/>
      <c r="L337" s="48"/>
    </row>
    <row r="338">
      <c r="J338" s="48"/>
      <c r="K338" s="48"/>
      <c r="L338" s="48"/>
    </row>
    <row r="339">
      <c r="J339" s="48"/>
      <c r="K339" s="48"/>
      <c r="L339" s="48"/>
    </row>
    <row r="340">
      <c r="J340" s="48"/>
      <c r="K340" s="48"/>
      <c r="L340" s="48"/>
    </row>
    <row r="341">
      <c r="J341" s="48"/>
      <c r="K341" s="48"/>
      <c r="L341" s="48"/>
    </row>
    <row r="342">
      <c r="J342" s="48"/>
      <c r="K342" s="48"/>
      <c r="L342" s="48"/>
    </row>
    <row r="343">
      <c r="J343" s="48"/>
      <c r="K343" s="48"/>
      <c r="L343" s="48"/>
    </row>
    <row r="344">
      <c r="J344" s="48"/>
      <c r="K344" s="48"/>
      <c r="L344" s="48"/>
    </row>
    <row r="345">
      <c r="J345" s="48"/>
      <c r="K345" s="48"/>
      <c r="L345" s="48"/>
    </row>
    <row r="346">
      <c r="J346" s="48"/>
      <c r="K346" s="48"/>
      <c r="L346" s="48"/>
    </row>
    <row r="347">
      <c r="J347" s="48"/>
      <c r="K347" s="48"/>
      <c r="L347" s="48"/>
    </row>
    <row r="348">
      <c r="J348" s="48"/>
      <c r="K348" s="48"/>
      <c r="L348" s="48"/>
    </row>
    <row r="349">
      <c r="J349" s="48"/>
      <c r="K349" s="48"/>
      <c r="L349" s="48"/>
    </row>
    <row r="350">
      <c r="J350" s="48"/>
      <c r="K350" s="48"/>
      <c r="L350" s="48"/>
    </row>
    <row r="351">
      <c r="J351" s="48"/>
      <c r="K351" s="48"/>
      <c r="L351" s="48"/>
    </row>
    <row r="352">
      <c r="J352" s="48"/>
      <c r="K352" s="48"/>
      <c r="L352" s="48"/>
    </row>
    <row r="353">
      <c r="J353" s="48"/>
      <c r="K353" s="48"/>
      <c r="L353" s="48"/>
    </row>
    <row r="354">
      <c r="J354" s="48"/>
      <c r="K354" s="48"/>
      <c r="L354" s="48"/>
    </row>
    <row r="355">
      <c r="J355" s="48"/>
      <c r="K355" s="48"/>
      <c r="L355" s="48"/>
    </row>
    <row r="356">
      <c r="J356" s="48"/>
      <c r="K356" s="48"/>
      <c r="L356" s="48"/>
    </row>
    <row r="357">
      <c r="J357" s="48"/>
      <c r="K357" s="48"/>
      <c r="L357" s="48"/>
    </row>
    <row r="358">
      <c r="J358" s="48"/>
      <c r="K358" s="48"/>
      <c r="L358" s="48"/>
    </row>
    <row r="359">
      <c r="J359" s="48"/>
      <c r="K359" s="48"/>
      <c r="L359" s="48"/>
    </row>
    <row r="360">
      <c r="J360" s="48"/>
      <c r="K360" s="48"/>
      <c r="L360" s="48"/>
    </row>
    <row r="361">
      <c r="J361" s="48"/>
      <c r="K361" s="48"/>
      <c r="L361" s="48"/>
    </row>
    <row r="362">
      <c r="J362" s="48"/>
      <c r="K362" s="48"/>
      <c r="L362" s="48"/>
    </row>
    <row r="363">
      <c r="J363" s="48"/>
      <c r="K363" s="48"/>
      <c r="L363" s="48"/>
    </row>
    <row r="364">
      <c r="J364" s="48"/>
      <c r="K364" s="48"/>
      <c r="L364" s="48"/>
    </row>
    <row r="365">
      <c r="J365" s="48"/>
      <c r="K365" s="48"/>
      <c r="L365" s="48"/>
    </row>
    <row r="366">
      <c r="J366" s="48"/>
      <c r="K366" s="48"/>
      <c r="L366" s="48"/>
    </row>
    <row r="367">
      <c r="J367" s="48"/>
      <c r="K367" s="48"/>
      <c r="L367" s="48"/>
    </row>
    <row r="368">
      <c r="J368" s="48"/>
      <c r="K368" s="48"/>
      <c r="L368" s="48"/>
    </row>
    <row r="369">
      <c r="J369" s="48"/>
      <c r="K369" s="48"/>
      <c r="L369" s="48"/>
    </row>
    <row r="370">
      <c r="J370" s="48"/>
      <c r="K370" s="48"/>
      <c r="L370" s="48"/>
    </row>
    <row r="371">
      <c r="J371" s="48"/>
      <c r="K371" s="48"/>
      <c r="L371" s="48"/>
    </row>
    <row r="372">
      <c r="J372" s="48"/>
      <c r="K372" s="48"/>
      <c r="L372" s="48"/>
    </row>
    <row r="373">
      <c r="J373" s="48"/>
      <c r="K373" s="48"/>
      <c r="L373" s="48"/>
    </row>
    <row r="374">
      <c r="J374" s="48"/>
      <c r="K374" s="48"/>
      <c r="L374" s="48"/>
    </row>
    <row r="375">
      <c r="J375" s="48"/>
      <c r="K375" s="48"/>
      <c r="L375" s="48"/>
    </row>
    <row r="376">
      <c r="J376" s="48"/>
      <c r="K376" s="48"/>
      <c r="L376" s="48"/>
    </row>
    <row r="377">
      <c r="J377" s="48"/>
      <c r="K377" s="48"/>
      <c r="L377" s="48"/>
    </row>
    <row r="378">
      <c r="J378" s="48"/>
      <c r="K378" s="48"/>
      <c r="L378" s="48"/>
    </row>
    <row r="379">
      <c r="J379" s="48"/>
      <c r="K379" s="48"/>
      <c r="L379" s="48"/>
    </row>
    <row r="380">
      <c r="J380" s="48"/>
      <c r="K380" s="48"/>
      <c r="L380" s="48"/>
    </row>
    <row r="381">
      <c r="J381" s="48"/>
      <c r="K381" s="48"/>
      <c r="L381" s="48"/>
    </row>
    <row r="382">
      <c r="J382" s="48"/>
      <c r="K382" s="48"/>
      <c r="L382" s="48"/>
    </row>
    <row r="383">
      <c r="J383" s="48"/>
      <c r="K383" s="48"/>
      <c r="L383" s="48"/>
    </row>
    <row r="384">
      <c r="J384" s="48"/>
      <c r="K384" s="48"/>
      <c r="L384" s="48"/>
    </row>
    <row r="385">
      <c r="J385" s="48"/>
      <c r="K385" s="48"/>
      <c r="L385" s="48"/>
    </row>
    <row r="386">
      <c r="J386" s="48"/>
      <c r="K386" s="48"/>
      <c r="L386" s="48"/>
    </row>
    <row r="387">
      <c r="J387" s="48"/>
      <c r="K387" s="48"/>
      <c r="L387" s="48"/>
    </row>
    <row r="388">
      <c r="J388" s="48"/>
      <c r="K388" s="48"/>
      <c r="L388" s="48"/>
    </row>
    <row r="389">
      <c r="J389" s="48"/>
      <c r="K389" s="48"/>
      <c r="L389" s="48"/>
    </row>
    <row r="390">
      <c r="J390" s="48"/>
      <c r="K390" s="48"/>
      <c r="L390" s="48"/>
    </row>
    <row r="391">
      <c r="J391" s="48"/>
      <c r="K391" s="48"/>
      <c r="L391" s="48"/>
    </row>
    <row r="392">
      <c r="J392" s="48"/>
      <c r="K392" s="48"/>
      <c r="L392" s="48"/>
    </row>
    <row r="393">
      <c r="J393" s="48"/>
      <c r="K393" s="48"/>
      <c r="L393" s="48"/>
    </row>
    <row r="394">
      <c r="J394" s="48"/>
      <c r="K394" s="48"/>
      <c r="L394" s="48"/>
    </row>
    <row r="395">
      <c r="J395" s="48"/>
      <c r="K395" s="48"/>
      <c r="L395" s="48"/>
    </row>
    <row r="396">
      <c r="J396" s="48"/>
      <c r="K396" s="48"/>
      <c r="L396" s="48"/>
    </row>
    <row r="397">
      <c r="J397" s="48"/>
      <c r="K397" s="48"/>
      <c r="L397" s="48"/>
    </row>
    <row r="398">
      <c r="J398" s="48"/>
      <c r="K398" s="48"/>
      <c r="L398" s="48"/>
    </row>
    <row r="399">
      <c r="J399" s="48"/>
      <c r="K399" s="48"/>
      <c r="L399" s="48"/>
    </row>
    <row r="400">
      <c r="J400" s="48"/>
      <c r="K400" s="48"/>
      <c r="L400" s="48"/>
    </row>
    <row r="401">
      <c r="J401" s="48"/>
      <c r="K401" s="48"/>
      <c r="L401" s="48"/>
    </row>
    <row r="402">
      <c r="J402" s="48"/>
      <c r="K402" s="48"/>
      <c r="L402" s="48"/>
    </row>
    <row r="403">
      <c r="J403" s="48"/>
      <c r="K403" s="48"/>
      <c r="L403" s="48"/>
    </row>
    <row r="404">
      <c r="J404" s="48"/>
      <c r="K404" s="48"/>
      <c r="L404" s="48"/>
    </row>
    <row r="405">
      <c r="J405" s="48"/>
      <c r="K405" s="48"/>
      <c r="L405" s="48"/>
    </row>
    <row r="406">
      <c r="J406" s="48"/>
      <c r="K406" s="48"/>
      <c r="L406" s="48"/>
    </row>
    <row r="407">
      <c r="J407" s="48"/>
      <c r="K407" s="48"/>
      <c r="L407" s="48"/>
    </row>
    <row r="408">
      <c r="J408" s="48"/>
      <c r="K408" s="48"/>
      <c r="L408" s="48"/>
    </row>
    <row r="409">
      <c r="J409" s="48"/>
      <c r="K409" s="48"/>
      <c r="L409" s="48"/>
    </row>
    <row r="410">
      <c r="J410" s="48"/>
      <c r="K410" s="48"/>
      <c r="L410" s="48"/>
    </row>
    <row r="411">
      <c r="J411" s="48"/>
      <c r="K411" s="48"/>
      <c r="L411" s="48"/>
    </row>
    <row r="412">
      <c r="J412" s="48"/>
      <c r="K412" s="48"/>
      <c r="L412" s="48"/>
    </row>
    <row r="413">
      <c r="J413" s="48"/>
      <c r="K413" s="48"/>
      <c r="L413" s="48"/>
    </row>
    <row r="414">
      <c r="J414" s="48"/>
      <c r="K414" s="48"/>
      <c r="L414" s="48"/>
    </row>
    <row r="415">
      <c r="J415" s="48"/>
      <c r="K415" s="48"/>
      <c r="L415" s="48"/>
    </row>
    <row r="416">
      <c r="J416" s="48"/>
      <c r="K416" s="48"/>
      <c r="L416" s="48"/>
    </row>
    <row r="417">
      <c r="J417" s="48"/>
      <c r="K417" s="48"/>
      <c r="L417" s="48"/>
    </row>
    <row r="418">
      <c r="J418" s="48"/>
      <c r="K418" s="48"/>
      <c r="L418" s="48"/>
    </row>
    <row r="419">
      <c r="J419" s="48"/>
      <c r="K419" s="48"/>
      <c r="L419" s="48"/>
    </row>
    <row r="420">
      <c r="J420" s="48"/>
      <c r="K420" s="48"/>
      <c r="L420" s="48"/>
    </row>
    <row r="421">
      <c r="J421" s="48"/>
      <c r="K421" s="48"/>
      <c r="L421" s="48"/>
    </row>
    <row r="422">
      <c r="J422" s="48"/>
      <c r="K422" s="48"/>
      <c r="L422" s="48"/>
    </row>
    <row r="423">
      <c r="J423" s="48"/>
      <c r="K423" s="48"/>
      <c r="L423" s="48"/>
    </row>
    <row r="424">
      <c r="J424" s="48"/>
      <c r="K424" s="48"/>
      <c r="L424" s="48"/>
    </row>
    <row r="425">
      <c r="J425" s="48"/>
      <c r="K425" s="48"/>
      <c r="L425" s="48"/>
    </row>
    <row r="426">
      <c r="J426" s="48"/>
      <c r="K426" s="48"/>
      <c r="L426" s="48"/>
    </row>
    <row r="427">
      <c r="J427" s="48"/>
      <c r="K427" s="48"/>
      <c r="L427" s="48"/>
    </row>
    <row r="428">
      <c r="J428" s="48"/>
      <c r="K428" s="48"/>
      <c r="L428" s="48"/>
    </row>
    <row r="429">
      <c r="J429" s="48"/>
      <c r="K429" s="48"/>
      <c r="L429" s="48"/>
    </row>
    <row r="430">
      <c r="J430" s="48"/>
      <c r="K430" s="48"/>
      <c r="L430" s="48"/>
    </row>
    <row r="431">
      <c r="J431" s="48"/>
      <c r="K431" s="48"/>
      <c r="L431" s="48"/>
    </row>
    <row r="432">
      <c r="J432" s="48"/>
      <c r="K432" s="48"/>
      <c r="L432" s="48"/>
    </row>
    <row r="433">
      <c r="J433" s="48"/>
      <c r="K433" s="48"/>
      <c r="L433" s="48"/>
    </row>
    <row r="434">
      <c r="J434" s="48"/>
      <c r="K434" s="48"/>
      <c r="L434" s="48"/>
    </row>
    <row r="435">
      <c r="J435" s="48"/>
      <c r="K435" s="48"/>
      <c r="L435" s="48"/>
    </row>
    <row r="436">
      <c r="J436" s="48"/>
      <c r="K436" s="48"/>
      <c r="L436" s="48"/>
    </row>
    <row r="437">
      <c r="J437" s="48"/>
      <c r="K437" s="48"/>
      <c r="L437" s="48"/>
    </row>
    <row r="438">
      <c r="J438" s="48"/>
      <c r="K438" s="48"/>
      <c r="L438" s="48"/>
    </row>
    <row r="439">
      <c r="J439" s="48"/>
      <c r="K439" s="48"/>
      <c r="L439" s="48"/>
    </row>
    <row r="440">
      <c r="J440" s="48"/>
      <c r="K440" s="48"/>
      <c r="L440" s="48"/>
    </row>
    <row r="441">
      <c r="J441" s="48"/>
      <c r="K441" s="48"/>
      <c r="L441" s="48"/>
    </row>
    <row r="442">
      <c r="J442" s="48"/>
      <c r="K442" s="48"/>
      <c r="L442" s="48"/>
    </row>
    <row r="443">
      <c r="J443" s="48"/>
      <c r="K443" s="48"/>
      <c r="L443" s="48"/>
    </row>
    <row r="444">
      <c r="J444" s="48"/>
      <c r="K444" s="48"/>
      <c r="L444" s="48"/>
    </row>
    <row r="445">
      <c r="J445" s="48"/>
      <c r="K445" s="48"/>
      <c r="L445" s="48"/>
    </row>
    <row r="446">
      <c r="J446" s="48"/>
      <c r="K446" s="48"/>
      <c r="L446" s="48"/>
    </row>
    <row r="447">
      <c r="J447" s="48"/>
      <c r="K447" s="48"/>
      <c r="L447" s="48"/>
    </row>
    <row r="448">
      <c r="J448" s="48"/>
      <c r="K448" s="48"/>
      <c r="L448" s="48"/>
    </row>
    <row r="449">
      <c r="J449" s="48"/>
      <c r="K449" s="48"/>
      <c r="L449" s="48"/>
    </row>
    <row r="450">
      <c r="J450" s="48"/>
      <c r="K450" s="48"/>
      <c r="L450" s="48"/>
    </row>
    <row r="451">
      <c r="J451" s="48"/>
      <c r="K451" s="48"/>
      <c r="L451" s="48"/>
    </row>
    <row r="452">
      <c r="J452" s="48"/>
      <c r="K452" s="48"/>
      <c r="L452" s="48"/>
    </row>
    <row r="453">
      <c r="J453" s="48"/>
      <c r="K453" s="48"/>
      <c r="L453" s="48"/>
    </row>
    <row r="454">
      <c r="J454" s="48"/>
      <c r="K454" s="48"/>
      <c r="L454" s="48"/>
    </row>
    <row r="455">
      <c r="J455" s="48"/>
      <c r="K455" s="48"/>
      <c r="L455" s="48"/>
    </row>
    <row r="456">
      <c r="J456" s="48"/>
      <c r="K456" s="48"/>
      <c r="L456" s="48"/>
    </row>
    <row r="457">
      <c r="J457" s="48"/>
      <c r="K457" s="48"/>
      <c r="L457" s="48"/>
    </row>
    <row r="458">
      <c r="J458" s="48"/>
      <c r="K458" s="48"/>
      <c r="L458" s="48"/>
    </row>
    <row r="459">
      <c r="J459" s="48"/>
      <c r="K459" s="48"/>
      <c r="L459" s="48"/>
    </row>
    <row r="460">
      <c r="J460" s="48"/>
      <c r="K460" s="48"/>
      <c r="L460" s="48"/>
    </row>
    <row r="461">
      <c r="J461" s="48"/>
      <c r="K461" s="48"/>
      <c r="L461" s="48"/>
    </row>
    <row r="462">
      <c r="J462" s="48"/>
      <c r="K462" s="48"/>
      <c r="L462" s="48"/>
    </row>
    <row r="463">
      <c r="J463" s="48"/>
      <c r="K463" s="48"/>
      <c r="L463" s="48"/>
    </row>
    <row r="464">
      <c r="J464" s="48"/>
      <c r="K464" s="48"/>
      <c r="L464" s="48"/>
    </row>
    <row r="465">
      <c r="J465" s="48"/>
      <c r="K465" s="48"/>
      <c r="L465" s="48"/>
    </row>
    <row r="466">
      <c r="J466" s="48"/>
      <c r="K466" s="48"/>
      <c r="L466" s="48"/>
    </row>
    <row r="467">
      <c r="J467" s="48"/>
      <c r="K467" s="48"/>
      <c r="L467" s="48"/>
    </row>
    <row r="468">
      <c r="J468" s="48"/>
      <c r="K468" s="48"/>
      <c r="L468" s="48"/>
    </row>
    <row r="469">
      <c r="J469" s="48"/>
      <c r="K469" s="48"/>
      <c r="L469" s="48"/>
    </row>
    <row r="470">
      <c r="J470" s="48"/>
      <c r="K470" s="48"/>
      <c r="L470" s="48"/>
    </row>
    <row r="471">
      <c r="J471" s="48"/>
      <c r="K471" s="48"/>
      <c r="L471" s="48"/>
    </row>
    <row r="472">
      <c r="J472" s="48"/>
      <c r="K472" s="48"/>
      <c r="L472" s="48"/>
    </row>
    <row r="473">
      <c r="J473" s="48"/>
      <c r="K473" s="48"/>
      <c r="L473" s="48"/>
    </row>
    <row r="474">
      <c r="J474" s="48"/>
      <c r="K474" s="48"/>
      <c r="L474" s="48"/>
    </row>
    <row r="475">
      <c r="J475" s="48"/>
      <c r="K475" s="48"/>
      <c r="L475" s="48"/>
    </row>
    <row r="476">
      <c r="J476" s="48"/>
      <c r="K476" s="48"/>
      <c r="L476" s="48"/>
    </row>
    <row r="477">
      <c r="J477" s="48"/>
      <c r="K477" s="48"/>
      <c r="L477" s="48"/>
    </row>
    <row r="478">
      <c r="J478" s="48"/>
      <c r="K478" s="48"/>
      <c r="L478" s="48"/>
    </row>
    <row r="479">
      <c r="J479" s="48"/>
      <c r="K479" s="48"/>
      <c r="L479" s="48"/>
    </row>
    <row r="480">
      <c r="J480" s="48"/>
      <c r="K480" s="48"/>
      <c r="L480" s="48"/>
    </row>
    <row r="481">
      <c r="J481" s="48"/>
      <c r="K481" s="48"/>
      <c r="L481" s="48"/>
    </row>
    <row r="482">
      <c r="J482" s="48"/>
      <c r="K482" s="48"/>
      <c r="L482" s="48"/>
    </row>
    <row r="483">
      <c r="J483" s="48"/>
      <c r="K483" s="48"/>
      <c r="L483" s="48"/>
    </row>
    <row r="484">
      <c r="J484" s="48"/>
      <c r="K484" s="48"/>
      <c r="L484" s="48"/>
    </row>
    <row r="485">
      <c r="J485" s="48"/>
      <c r="K485" s="48"/>
      <c r="L485" s="48"/>
    </row>
    <row r="486">
      <c r="J486" s="48"/>
      <c r="K486" s="48"/>
      <c r="L486" s="48"/>
    </row>
    <row r="487">
      <c r="J487" s="48"/>
      <c r="K487" s="48"/>
      <c r="L487" s="48"/>
    </row>
    <row r="488">
      <c r="J488" s="48"/>
      <c r="K488" s="48"/>
      <c r="L488" s="48"/>
    </row>
    <row r="489">
      <c r="J489" s="48"/>
      <c r="K489" s="48"/>
      <c r="L489" s="48"/>
    </row>
    <row r="490">
      <c r="J490" s="48"/>
      <c r="K490" s="48"/>
      <c r="L490" s="48"/>
    </row>
    <row r="491">
      <c r="J491" s="48"/>
      <c r="K491" s="48"/>
      <c r="L491" s="48"/>
    </row>
    <row r="492">
      <c r="J492" s="48"/>
      <c r="K492" s="48"/>
      <c r="L492" s="48"/>
    </row>
    <row r="493">
      <c r="J493" s="48"/>
      <c r="K493" s="48"/>
      <c r="L493" s="48"/>
    </row>
    <row r="494">
      <c r="J494" s="48"/>
      <c r="K494" s="48"/>
      <c r="L494" s="48"/>
    </row>
    <row r="495">
      <c r="J495" s="48"/>
      <c r="K495" s="48"/>
      <c r="L495" s="48"/>
    </row>
    <row r="496">
      <c r="J496" s="48"/>
      <c r="K496" s="48"/>
      <c r="L496" s="48"/>
    </row>
    <row r="497">
      <c r="J497" s="48"/>
      <c r="K497" s="48"/>
      <c r="L497" s="48"/>
    </row>
    <row r="498">
      <c r="J498" s="48"/>
      <c r="K498" s="48"/>
      <c r="L498" s="48"/>
    </row>
    <row r="499">
      <c r="J499" s="48"/>
      <c r="K499" s="48"/>
      <c r="L499" s="48"/>
    </row>
    <row r="500">
      <c r="J500" s="48"/>
      <c r="K500" s="48"/>
      <c r="L500" s="48"/>
    </row>
    <row r="501">
      <c r="J501" s="48"/>
      <c r="K501" s="48"/>
      <c r="L501" s="48"/>
    </row>
    <row r="502">
      <c r="J502" s="48"/>
      <c r="K502" s="48"/>
      <c r="L502" s="48"/>
    </row>
    <row r="503">
      <c r="J503" s="48"/>
      <c r="K503" s="48"/>
      <c r="L503" s="48"/>
    </row>
    <row r="504">
      <c r="J504" s="48"/>
      <c r="K504" s="48"/>
      <c r="L504" s="48"/>
    </row>
    <row r="505">
      <c r="J505" s="48"/>
      <c r="K505" s="48"/>
      <c r="L505" s="48"/>
    </row>
    <row r="506">
      <c r="J506" s="48"/>
      <c r="K506" s="48"/>
      <c r="L506" s="48"/>
    </row>
    <row r="507">
      <c r="J507" s="48"/>
      <c r="K507" s="48"/>
      <c r="L507" s="48"/>
    </row>
    <row r="508">
      <c r="J508" s="48"/>
      <c r="K508" s="48"/>
      <c r="L508" s="48"/>
    </row>
    <row r="509">
      <c r="J509" s="48"/>
      <c r="K509" s="48"/>
      <c r="L509" s="48"/>
    </row>
    <row r="510">
      <c r="J510" s="48"/>
      <c r="K510" s="48"/>
      <c r="L510" s="48"/>
    </row>
    <row r="511">
      <c r="J511" s="48"/>
      <c r="K511" s="48"/>
      <c r="L511" s="48"/>
    </row>
    <row r="512">
      <c r="J512" s="48"/>
      <c r="K512" s="48"/>
      <c r="L512" s="48"/>
    </row>
    <row r="513">
      <c r="J513" s="48"/>
      <c r="K513" s="48"/>
      <c r="L513" s="48"/>
    </row>
    <row r="514">
      <c r="J514" s="48"/>
      <c r="K514" s="48"/>
      <c r="L514" s="48"/>
    </row>
    <row r="515">
      <c r="J515" s="48"/>
      <c r="K515" s="48"/>
      <c r="L515" s="48"/>
    </row>
    <row r="516">
      <c r="J516" s="48"/>
      <c r="K516" s="48"/>
      <c r="L516" s="48"/>
    </row>
    <row r="517">
      <c r="J517" s="48"/>
      <c r="K517" s="48"/>
      <c r="L517" s="48"/>
    </row>
    <row r="518">
      <c r="J518" s="48"/>
      <c r="K518" s="48"/>
      <c r="L518" s="48"/>
    </row>
    <row r="519">
      <c r="J519" s="48"/>
      <c r="K519" s="48"/>
      <c r="L519" s="48"/>
    </row>
    <row r="520">
      <c r="J520" s="48"/>
      <c r="K520" s="48"/>
      <c r="L520" s="48"/>
    </row>
    <row r="521">
      <c r="J521" s="48"/>
      <c r="K521" s="48"/>
      <c r="L521" s="48"/>
    </row>
    <row r="522">
      <c r="J522" s="48"/>
      <c r="K522" s="48"/>
      <c r="L522" s="48"/>
    </row>
    <row r="523">
      <c r="J523" s="48"/>
      <c r="K523" s="48"/>
      <c r="L523" s="48"/>
    </row>
    <row r="524">
      <c r="J524" s="48"/>
      <c r="K524" s="48"/>
      <c r="L524" s="48"/>
    </row>
    <row r="525">
      <c r="J525" s="48"/>
      <c r="K525" s="48"/>
      <c r="L525" s="48"/>
    </row>
    <row r="526">
      <c r="J526" s="48"/>
      <c r="K526" s="48"/>
      <c r="L526" s="48"/>
    </row>
    <row r="527">
      <c r="J527" s="48"/>
      <c r="K527" s="48"/>
      <c r="L527" s="48"/>
    </row>
    <row r="528">
      <c r="J528" s="48"/>
      <c r="K528" s="48"/>
      <c r="L528" s="48"/>
    </row>
    <row r="529">
      <c r="J529" s="48"/>
      <c r="K529" s="48"/>
      <c r="L529" s="48"/>
    </row>
    <row r="530">
      <c r="J530" s="48"/>
      <c r="K530" s="48"/>
      <c r="L530" s="48"/>
    </row>
    <row r="531">
      <c r="J531" s="48"/>
      <c r="K531" s="48"/>
      <c r="L531" s="48"/>
    </row>
    <row r="532">
      <c r="J532" s="48"/>
      <c r="K532" s="48"/>
      <c r="L532" s="48"/>
    </row>
    <row r="533">
      <c r="J533" s="48"/>
      <c r="K533" s="48"/>
      <c r="L533" s="48"/>
    </row>
    <row r="534">
      <c r="J534" s="48"/>
      <c r="K534" s="48"/>
      <c r="L534" s="48"/>
    </row>
    <row r="535">
      <c r="J535" s="48"/>
      <c r="K535" s="48"/>
      <c r="L535" s="48"/>
    </row>
    <row r="536">
      <c r="J536" s="48"/>
      <c r="K536" s="48"/>
      <c r="L536" s="48"/>
    </row>
    <row r="537">
      <c r="J537" s="48"/>
      <c r="K537" s="48"/>
      <c r="L537" s="48"/>
    </row>
    <row r="538">
      <c r="J538" s="48"/>
      <c r="K538" s="48"/>
      <c r="L538" s="48"/>
    </row>
    <row r="539">
      <c r="J539" s="48"/>
      <c r="K539" s="48"/>
      <c r="L539" s="48"/>
    </row>
    <row r="540">
      <c r="J540" s="48"/>
      <c r="K540" s="48"/>
      <c r="L540" s="48"/>
    </row>
    <row r="541">
      <c r="J541" s="48"/>
      <c r="K541" s="48"/>
      <c r="L541" s="48"/>
    </row>
    <row r="542">
      <c r="J542" s="48"/>
      <c r="K542" s="48"/>
      <c r="L542" s="48"/>
    </row>
    <row r="543">
      <c r="J543" s="48"/>
      <c r="K543" s="48"/>
      <c r="L543" s="48"/>
    </row>
    <row r="544">
      <c r="J544" s="48"/>
      <c r="K544" s="48"/>
      <c r="L544" s="48"/>
    </row>
    <row r="545">
      <c r="J545" s="48"/>
      <c r="K545" s="48"/>
      <c r="L545" s="48"/>
    </row>
    <row r="546">
      <c r="J546" s="48"/>
      <c r="K546" s="48"/>
      <c r="L546" s="48"/>
    </row>
    <row r="547">
      <c r="J547" s="48"/>
      <c r="K547" s="48"/>
      <c r="L547" s="48"/>
    </row>
    <row r="548">
      <c r="J548" s="48"/>
      <c r="K548" s="48"/>
      <c r="L548" s="48"/>
    </row>
    <row r="549">
      <c r="J549" s="48"/>
      <c r="K549" s="48"/>
      <c r="L549" s="48"/>
    </row>
    <row r="550">
      <c r="J550" s="48"/>
      <c r="K550" s="48"/>
      <c r="L550" s="48"/>
    </row>
    <row r="551">
      <c r="J551" s="48"/>
      <c r="K551" s="48"/>
      <c r="L551" s="48"/>
    </row>
    <row r="552">
      <c r="J552" s="48"/>
      <c r="K552" s="48"/>
      <c r="L552" s="48"/>
    </row>
    <row r="553">
      <c r="J553" s="48"/>
      <c r="K553" s="48"/>
      <c r="L553" s="48"/>
    </row>
    <row r="554">
      <c r="J554" s="48"/>
      <c r="K554" s="48"/>
      <c r="L554" s="48"/>
    </row>
    <row r="555">
      <c r="J555" s="48"/>
      <c r="K555" s="48"/>
      <c r="L555" s="48"/>
    </row>
    <row r="556">
      <c r="J556" s="48"/>
      <c r="K556" s="48"/>
      <c r="L556" s="48"/>
    </row>
    <row r="557">
      <c r="J557" s="48"/>
      <c r="K557" s="48"/>
      <c r="L557" s="48"/>
    </row>
    <row r="558">
      <c r="J558" s="48"/>
      <c r="K558" s="48"/>
      <c r="L558" s="48"/>
    </row>
    <row r="559">
      <c r="J559" s="48"/>
      <c r="K559" s="48"/>
      <c r="L559" s="48"/>
    </row>
    <row r="560">
      <c r="J560" s="48"/>
      <c r="K560" s="48"/>
      <c r="L560" s="48"/>
    </row>
    <row r="561">
      <c r="J561" s="48"/>
      <c r="K561" s="48"/>
      <c r="L561" s="48"/>
    </row>
    <row r="562">
      <c r="J562" s="48"/>
      <c r="K562" s="48"/>
      <c r="L562" s="48"/>
    </row>
    <row r="563">
      <c r="J563" s="48"/>
      <c r="K563" s="48"/>
      <c r="L563" s="48"/>
    </row>
    <row r="564">
      <c r="J564" s="48"/>
      <c r="K564" s="48"/>
      <c r="L564" s="48"/>
    </row>
    <row r="565">
      <c r="J565" s="48"/>
      <c r="K565" s="48"/>
      <c r="L565" s="48"/>
    </row>
    <row r="566">
      <c r="J566" s="48"/>
      <c r="K566" s="48"/>
      <c r="L566" s="48"/>
    </row>
    <row r="567">
      <c r="J567" s="48"/>
      <c r="K567" s="48"/>
      <c r="L567" s="48"/>
    </row>
    <row r="568">
      <c r="J568" s="48"/>
      <c r="K568" s="48"/>
      <c r="L568" s="48"/>
    </row>
    <row r="569">
      <c r="J569" s="48"/>
      <c r="K569" s="48"/>
      <c r="L569" s="48"/>
    </row>
    <row r="570">
      <c r="J570" s="48"/>
      <c r="K570" s="48"/>
      <c r="L570" s="48"/>
    </row>
    <row r="571">
      <c r="J571" s="48"/>
      <c r="K571" s="48"/>
      <c r="L571" s="48"/>
    </row>
    <row r="572">
      <c r="J572" s="48"/>
      <c r="K572" s="48"/>
      <c r="L572" s="48"/>
    </row>
    <row r="573">
      <c r="J573" s="48"/>
      <c r="K573" s="48"/>
      <c r="L573" s="48"/>
    </row>
    <row r="574">
      <c r="J574" s="48"/>
      <c r="K574" s="48"/>
      <c r="L574" s="48"/>
    </row>
    <row r="575">
      <c r="J575" s="48"/>
      <c r="K575" s="48"/>
      <c r="L575" s="48"/>
    </row>
    <row r="576">
      <c r="J576" s="48"/>
      <c r="K576" s="48"/>
      <c r="L576" s="48"/>
    </row>
    <row r="577">
      <c r="J577" s="48"/>
      <c r="K577" s="48"/>
      <c r="L577" s="48"/>
    </row>
    <row r="578">
      <c r="J578" s="48"/>
      <c r="K578" s="48"/>
      <c r="L578" s="48"/>
    </row>
    <row r="579">
      <c r="J579" s="48"/>
      <c r="K579" s="48"/>
      <c r="L579" s="48"/>
    </row>
    <row r="580">
      <c r="J580" s="48"/>
      <c r="K580" s="48"/>
      <c r="L580" s="48"/>
    </row>
    <row r="581">
      <c r="J581" s="48"/>
      <c r="K581" s="48"/>
      <c r="L581" s="48"/>
    </row>
    <row r="582">
      <c r="J582" s="48"/>
      <c r="K582" s="48"/>
      <c r="L582" s="48"/>
    </row>
    <row r="583">
      <c r="J583" s="48"/>
      <c r="K583" s="48"/>
      <c r="L583" s="48"/>
    </row>
    <row r="584">
      <c r="J584" s="48"/>
      <c r="K584" s="48"/>
      <c r="L584" s="48"/>
    </row>
    <row r="585">
      <c r="J585" s="48"/>
      <c r="K585" s="48"/>
      <c r="L585" s="48"/>
    </row>
    <row r="586">
      <c r="J586" s="48"/>
      <c r="K586" s="48"/>
      <c r="L586" s="48"/>
    </row>
    <row r="587">
      <c r="J587" s="48"/>
      <c r="K587" s="48"/>
      <c r="L587" s="48"/>
    </row>
    <row r="588">
      <c r="J588" s="48"/>
      <c r="K588" s="48"/>
      <c r="L588" s="48"/>
    </row>
    <row r="589">
      <c r="J589" s="48"/>
      <c r="K589" s="48"/>
      <c r="L589" s="48"/>
    </row>
    <row r="590">
      <c r="J590" s="48"/>
      <c r="K590" s="48"/>
      <c r="L590" s="48"/>
    </row>
    <row r="591">
      <c r="J591" s="48"/>
      <c r="K591" s="48"/>
      <c r="L591" s="48"/>
    </row>
    <row r="592">
      <c r="J592" s="48"/>
      <c r="K592" s="48"/>
      <c r="L592" s="48"/>
    </row>
    <row r="593">
      <c r="J593" s="48"/>
      <c r="K593" s="48"/>
      <c r="L593" s="48"/>
    </row>
    <row r="594">
      <c r="J594" s="48"/>
      <c r="K594" s="48"/>
      <c r="L594" s="48"/>
    </row>
    <row r="595">
      <c r="J595" s="48"/>
      <c r="K595" s="48"/>
      <c r="L595" s="48"/>
    </row>
    <row r="596">
      <c r="J596" s="48"/>
      <c r="K596" s="48"/>
      <c r="L596" s="48"/>
    </row>
    <row r="597">
      <c r="J597" s="48"/>
      <c r="K597" s="48"/>
      <c r="L597" s="48"/>
    </row>
    <row r="598">
      <c r="J598" s="48"/>
      <c r="K598" s="48"/>
      <c r="L598" s="48"/>
    </row>
    <row r="599">
      <c r="J599" s="48"/>
      <c r="K599" s="48"/>
      <c r="L599" s="48"/>
    </row>
    <row r="600">
      <c r="J600" s="48"/>
      <c r="K600" s="48"/>
      <c r="L600" s="48"/>
    </row>
    <row r="601">
      <c r="J601" s="48"/>
      <c r="K601" s="48"/>
      <c r="L601" s="48"/>
    </row>
    <row r="602">
      <c r="J602" s="48"/>
      <c r="K602" s="48"/>
      <c r="L602" s="48"/>
    </row>
    <row r="603">
      <c r="J603" s="48"/>
      <c r="K603" s="48"/>
      <c r="L603" s="48"/>
    </row>
    <row r="604">
      <c r="J604" s="48"/>
      <c r="K604" s="48"/>
      <c r="L604" s="48"/>
    </row>
    <row r="605">
      <c r="J605" s="48"/>
      <c r="K605" s="48"/>
      <c r="L605" s="48"/>
    </row>
    <row r="606">
      <c r="J606" s="48"/>
      <c r="K606" s="48"/>
      <c r="L606" s="48"/>
    </row>
    <row r="607">
      <c r="J607" s="48"/>
      <c r="K607" s="48"/>
      <c r="L607" s="48"/>
    </row>
    <row r="608">
      <c r="J608" s="48"/>
      <c r="K608" s="48"/>
      <c r="L608" s="48"/>
    </row>
    <row r="609">
      <c r="J609" s="48"/>
      <c r="K609" s="48"/>
      <c r="L609" s="48"/>
    </row>
    <row r="610">
      <c r="J610" s="48"/>
      <c r="K610" s="48"/>
      <c r="L610" s="48"/>
    </row>
    <row r="611">
      <c r="J611" s="48"/>
      <c r="K611" s="48"/>
      <c r="L611" s="48"/>
    </row>
    <row r="612">
      <c r="J612" s="48"/>
      <c r="K612" s="48"/>
      <c r="L612" s="48"/>
    </row>
    <row r="613">
      <c r="J613" s="48"/>
      <c r="K613" s="48"/>
      <c r="L613" s="48"/>
    </row>
    <row r="614">
      <c r="J614" s="48"/>
      <c r="K614" s="48"/>
      <c r="L614" s="48"/>
    </row>
    <row r="615">
      <c r="J615" s="48"/>
      <c r="K615" s="48"/>
      <c r="L615" s="48"/>
    </row>
    <row r="616">
      <c r="J616" s="48"/>
      <c r="K616" s="48"/>
      <c r="L616" s="48"/>
    </row>
    <row r="617">
      <c r="J617" s="48"/>
      <c r="K617" s="48"/>
      <c r="L617" s="48"/>
    </row>
    <row r="618">
      <c r="J618" s="48"/>
      <c r="K618" s="48"/>
      <c r="L618" s="48"/>
    </row>
    <row r="619">
      <c r="J619" s="48"/>
      <c r="K619" s="48"/>
      <c r="L619" s="48"/>
    </row>
    <row r="620">
      <c r="J620" s="48"/>
      <c r="K620" s="48"/>
      <c r="L620" s="48"/>
    </row>
    <row r="621">
      <c r="J621" s="48"/>
      <c r="K621" s="48"/>
      <c r="L621" s="48"/>
    </row>
    <row r="622">
      <c r="J622" s="48"/>
      <c r="K622" s="48"/>
      <c r="L622" s="48"/>
    </row>
    <row r="623">
      <c r="J623" s="48"/>
      <c r="K623" s="48"/>
      <c r="L623" s="48"/>
    </row>
    <row r="624">
      <c r="J624" s="48"/>
      <c r="K624" s="48"/>
      <c r="L624" s="48"/>
    </row>
    <row r="625">
      <c r="J625" s="48"/>
      <c r="K625" s="48"/>
      <c r="L625" s="48"/>
    </row>
    <row r="626">
      <c r="J626" s="48"/>
      <c r="K626" s="48"/>
      <c r="L626" s="48"/>
    </row>
    <row r="627">
      <c r="J627" s="48"/>
      <c r="K627" s="48"/>
      <c r="L627" s="48"/>
    </row>
    <row r="628">
      <c r="J628" s="48"/>
      <c r="K628" s="48"/>
      <c r="L628" s="48"/>
    </row>
    <row r="629">
      <c r="J629" s="48"/>
      <c r="K629" s="48"/>
      <c r="L629" s="48"/>
    </row>
    <row r="630">
      <c r="J630" s="48"/>
      <c r="K630" s="48"/>
      <c r="L630" s="48"/>
    </row>
    <row r="631">
      <c r="J631" s="48"/>
      <c r="K631" s="48"/>
      <c r="L631" s="48"/>
    </row>
    <row r="632">
      <c r="J632" s="48"/>
      <c r="K632" s="48"/>
      <c r="L632" s="48"/>
    </row>
    <row r="633">
      <c r="J633" s="48"/>
      <c r="K633" s="48"/>
      <c r="L633" s="48"/>
    </row>
    <row r="634">
      <c r="J634" s="48"/>
      <c r="K634" s="48"/>
      <c r="L634" s="48"/>
    </row>
    <row r="635">
      <c r="J635" s="48"/>
      <c r="K635" s="48"/>
      <c r="L635" s="48"/>
    </row>
    <row r="636">
      <c r="J636" s="48"/>
      <c r="K636" s="48"/>
      <c r="L636" s="48"/>
    </row>
    <row r="637">
      <c r="J637" s="48"/>
      <c r="K637" s="48"/>
      <c r="L637" s="48"/>
    </row>
    <row r="638">
      <c r="J638" s="48"/>
      <c r="K638" s="48"/>
      <c r="L638" s="48"/>
    </row>
    <row r="639">
      <c r="J639" s="48"/>
      <c r="K639" s="48"/>
      <c r="L639" s="48"/>
    </row>
    <row r="640">
      <c r="J640" s="48"/>
      <c r="K640" s="48"/>
      <c r="L640" s="48"/>
    </row>
    <row r="641">
      <c r="J641" s="48"/>
      <c r="K641" s="48"/>
      <c r="L641" s="48"/>
    </row>
    <row r="642">
      <c r="J642" s="48"/>
      <c r="K642" s="48"/>
      <c r="L642" s="48"/>
    </row>
    <row r="643">
      <c r="J643" s="48"/>
      <c r="K643" s="48"/>
      <c r="L643" s="48"/>
    </row>
    <row r="644">
      <c r="J644" s="48"/>
      <c r="K644" s="48"/>
      <c r="L644" s="48"/>
    </row>
    <row r="645">
      <c r="J645" s="48"/>
      <c r="K645" s="48"/>
      <c r="L645" s="48"/>
    </row>
    <row r="646">
      <c r="J646" s="48"/>
      <c r="K646" s="48"/>
      <c r="L646" s="48"/>
    </row>
    <row r="647">
      <c r="J647" s="48"/>
      <c r="K647" s="48"/>
      <c r="L647" s="48"/>
    </row>
    <row r="648">
      <c r="J648" s="48"/>
      <c r="K648" s="48"/>
      <c r="L648" s="48"/>
    </row>
    <row r="649">
      <c r="J649" s="48"/>
      <c r="K649" s="48"/>
      <c r="L649" s="48"/>
    </row>
    <row r="650">
      <c r="J650" s="48"/>
      <c r="K650" s="48"/>
      <c r="L650" s="48"/>
    </row>
    <row r="651">
      <c r="J651" s="48"/>
      <c r="K651" s="48"/>
      <c r="L651" s="48"/>
    </row>
    <row r="652">
      <c r="J652" s="48"/>
      <c r="K652" s="48"/>
      <c r="L652" s="48"/>
    </row>
    <row r="653">
      <c r="J653" s="48"/>
      <c r="K653" s="48"/>
      <c r="L653" s="48"/>
    </row>
    <row r="654">
      <c r="J654" s="48"/>
      <c r="K654" s="48"/>
      <c r="L654" s="48"/>
    </row>
    <row r="655">
      <c r="J655" s="48"/>
      <c r="K655" s="48"/>
      <c r="L655" s="48"/>
    </row>
    <row r="656">
      <c r="J656" s="48"/>
      <c r="K656" s="48"/>
      <c r="L656" s="48"/>
    </row>
    <row r="657">
      <c r="J657" s="48"/>
      <c r="K657" s="48"/>
      <c r="L657" s="48"/>
    </row>
    <row r="658">
      <c r="J658" s="48"/>
      <c r="K658" s="48"/>
      <c r="L658" s="48"/>
    </row>
    <row r="659">
      <c r="J659" s="48"/>
      <c r="K659" s="48"/>
      <c r="L659" s="48"/>
    </row>
    <row r="660">
      <c r="J660" s="48"/>
      <c r="K660" s="48"/>
      <c r="L660" s="48"/>
    </row>
    <row r="661">
      <c r="J661" s="48"/>
      <c r="K661" s="48"/>
      <c r="L661" s="48"/>
    </row>
    <row r="662">
      <c r="J662" s="48"/>
      <c r="K662" s="48"/>
      <c r="L662" s="48"/>
    </row>
    <row r="663">
      <c r="J663" s="48"/>
      <c r="K663" s="48"/>
      <c r="L663" s="48"/>
    </row>
    <row r="664">
      <c r="J664" s="48"/>
      <c r="K664" s="48"/>
      <c r="L664" s="48"/>
    </row>
    <row r="665">
      <c r="J665" s="48"/>
      <c r="K665" s="48"/>
      <c r="L665" s="48"/>
    </row>
    <row r="666">
      <c r="J666" s="48"/>
      <c r="K666" s="48"/>
      <c r="L666" s="48"/>
    </row>
    <row r="667">
      <c r="J667" s="48"/>
      <c r="K667" s="48"/>
      <c r="L667" s="48"/>
    </row>
    <row r="668">
      <c r="J668" s="48"/>
      <c r="K668" s="48"/>
      <c r="L668" s="48"/>
    </row>
    <row r="669">
      <c r="J669" s="48"/>
      <c r="K669" s="48"/>
      <c r="L669" s="48"/>
    </row>
    <row r="670">
      <c r="J670" s="48"/>
      <c r="K670" s="48"/>
      <c r="L670" s="48"/>
    </row>
    <row r="671">
      <c r="J671" s="48"/>
      <c r="K671" s="48"/>
      <c r="L671" s="48"/>
    </row>
    <row r="672">
      <c r="J672" s="48"/>
      <c r="K672" s="48"/>
      <c r="L672" s="48"/>
    </row>
    <row r="673">
      <c r="J673" s="48"/>
      <c r="K673" s="48"/>
      <c r="L673" s="48"/>
    </row>
    <row r="674">
      <c r="J674" s="48"/>
      <c r="K674" s="48"/>
      <c r="L674" s="48"/>
    </row>
    <row r="675">
      <c r="J675" s="48"/>
      <c r="K675" s="48"/>
      <c r="L675" s="48"/>
    </row>
    <row r="676">
      <c r="J676" s="48"/>
      <c r="K676" s="48"/>
      <c r="L676" s="48"/>
    </row>
    <row r="677">
      <c r="J677" s="48"/>
      <c r="K677" s="48"/>
      <c r="L677" s="48"/>
    </row>
    <row r="678">
      <c r="J678" s="48"/>
      <c r="K678" s="48"/>
      <c r="L678" s="48"/>
    </row>
    <row r="679">
      <c r="J679" s="48"/>
      <c r="K679" s="48"/>
      <c r="L679" s="48"/>
    </row>
    <row r="680">
      <c r="J680" s="48"/>
      <c r="K680" s="48"/>
      <c r="L680" s="48"/>
    </row>
    <row r="681">
      <c r="J681" s="48"/>
      <c r="K681" s="48"/>
      <c r="L681" s="48"/>
    </row>
    <row r="682">
      <c r="J682" s="48"/>
      <c r="K682" s="48"/>
      <c r="L682" s="48"/>
    </row>
    <row r="683">
      <c r="J683" s="48"/>
      <c r="K683" s="48"/>
      <c r="L683" s="48"/>
    </row>
    <row r="684">
      <c r="J684" s="48"/>
      <c r="K684" s="48"/>
      <c r="L684" s="48"/>
    </row>
    <row r="685">
      <c r="J685" s="48"/>
      <c r="K685" s="48"/>
      <c r="L685" s="48"/>
    </row>
    <row r="686">
      <c r="J686" s="48"/>
      <c r="K686" s="48"/>
      <c r="L686" s="48"/>
    </row>
    <row r="687">
      <c r="J687" s="48"/>
      <c r="K687" s="48"/>
      <c r="L687" s="48"/>
    </row>
    <row r="688">
      <c r="J688" s="48"/>
      <c r="K688" s="48"/>
      <c r="L688" s="48"/>
    </row>
    <row r="689">
      <c r="J689" s="48"/>
      <c r="K689" s="48"/>
      <c r="L689" s="48"/>
    </row>
    <row r="690">
      <c r="J690" s="48"/>
      <c r="K690" s="48"/>
      <c r="L690" s="48"/>
    </row>
    <row r="691">
      <c r="J691" s="48"/>
      <c r="K691" s="48"/>
      <c r="L691" s="48"/>
    </row>
    <row r="692">
      <c r="J692" s="48"/>
      <c r="K692" s="48"/>
      <c r="L692" s="48"/>
    </row>
    <row r="693">
      <c r="J693" s="48"/>
      <c r="K693" s="48"/>
      <c r="L693" s="48"/>
    </row>
    <row r="694">
      <c r="J694" s="48"/>
      <c r="K694" s="48"/>
      <c r="L694" s="48"/>
    </row>
    <row r="695">
      <c r="J695" s="48"/>
      <c r="K695" s="48"/>
      <c r="L695" s="48"/>
    </row>
    <row r="696">
      <c r="J696" s="48"/>
      <c r="K696" s="48"/>
      <c r="L696" s="48"/>
    </row>
    <row r="697">
      <c r="J697" s="48"/>
      <c r="K697" s="48"/>
      <c r="L697" s="48"/>
    </row>
    <row r="698">
      <c r="J698" s="48"/>
      <c r="K698" s="48"/>
      <c r="L698" s="48"/>
    </row>
    <row r="699">
      <c r="J699" s="48"/>
      <c r="K699" s="48"/>
      <c r="L699" s="48"/>
    </row>
    <row r="700">
      <c r="J700" s="48"/>
      <c r="K700" s="48"/>
      <c r="L700" s="48"/>
    </row>
    <row r="701">
      <c r="J701" s="48"/>
      <c r="K701" s="48"/>
      <c r="L701" s="48"/>
    </row>
    <row r="702">
      <c r="J702" s="48"/>
      <c r="K702" s="48"/>
      <c r="L702" s="48"/>
    </row>
    <row r="703">
      <c r="J703" s="48"/>
      <c r="K703" s="48"/>
      <c r="L703" s="48"/>
    </row>
    <row r="704">
      <c r="J704" s="48"/>
      <c r="K704" s="48"/>
      <c r="L704" s="48"/>
    </row>
    <row r="705">
      <c r="J705" s="48"/>
      <c r="K705" s="48"/>
      <c r="L705" s="48"/>
    </row>
    <row r="706">
      <c r="J706" s="48"/>
      <c r="K706" s="48"/>
      <c r="L706" s="48"/>
    </row>
    <row r="707">
      <c r="J707" s="48"/>
      <c r="K707" s="48"/>
      <c r="L707" s="48"/>
    </row>
    <row r="708">
      <c r="J708" s="48"/>
      <c r="K708" s="48"/>
      <c r="L708" s="48"/>
    </row>
    <row r="709">
      <c r="J709" s="48"/>
      <c r="K709" s="48"/>
      <c r="L709" s="48"/>
    </row>
    <row r="710">
      <c r="J710" s="48"/>
      <c r="K710" s="48"/>
      <c r="L710" s="48"/>
    </row>
    <row r="711">
      <c r="J711" s="48"/>
      <c r="K711" s="48"/>
      <c r="L711" s="48"/>
    </row>
    <row r="712">
      <c r="J712" s="48"/>
      <c r="K712" s="48"/>
      <c r="L712" s="48"/>
    </row>
    <row r="713">
      <c r="J713" s="48"/>
      <c r="K713" s="48"/>
      <c r="L713" s="48"/>
    </row>
    <row r="714">
      <c r="J714" s="48"/>
      <c r="K714" s="48"/>
      <c r="L714" s="48"/>
    </row>
    <row r="715">
      <c r="J715" s="48"/>
      <c r="K715" s="48"/>
      <c r="L715" s="48"/>
    </row>
    <row r="716">
      <c r="J716" s="48"/>
      <c r="K716" s="48"/>
      <c r="L716" s="48"/>
    </row>
    <row r="717">
      <c r="J717" s="48"/>
      <c r="K717" s="48"/>
      <c r="L717" s="48"/>
    </row>
    <row r="718">
      <c r="J718" s="48"/>
      <c r="K718" s="48"/>
      <c r="L718" s="48"/>
    </row>
    <row r="719">
      <c r="J719" s="48"/>
      <c r="K719" s="48"/>
      <c r="L719" s="48"/>
    </row>
    <row r="720">
      <c r="J720" s="48"/>
      <c r="K720" s="48"/>
      <c r="L720" s="48"/>
    </row>
    <row r="721">
      <c r="J721" s="48"/>
      <c r="K721" s="48"/>
      <c r="L721" s="48"/>
    </row>
    <row r="722">
      <c r="J722" s="48"/>
      <c r="K722" s="48"/>
      <c r="L722" s="48"/>
    </row>
    <row r="723">
      <c r="J723" s="48"/>
      <c r="K723" s="48"/>
      <c r="L723" s="48"/>
    </row>
    <row r="724">
      <c r="J724" s="48"/>
      <c r="K724" s="48"/>
      <c r="L724" s="48"/>
    </row>
    <row r="725">
      <c r="J725" s="48"/>
      <c r="K725" s="48"/>
      <c r="L725" s="48"/>
    </row>
    <row r="726">
      <c r="J726" s="48"/>
      <c r="K726" s="48"/>
      <c r="L726" s="48"/>
    </row>
    <row r="727">
      <c r="J727" s="48"/>
      <c r="K727" s="48"/>
      <c r="L727" s="48"/>
    </row>
    <row r="728">
      <c r="J728" s="48"/>
      <c r="K728" s="48"/>
      <c r="L728" s="48"/>
    </row>
    <row r="729">
      <c r="J729" s="48"/>
      <c r="K729" s="48"/>
      <c r="L729" s="48"/>
    </row>
    <row r="730">
      <c r="J730" s="48"/>
      <c r="K730" s="48"/>
      <c r="L730" s="48"/>
    </row>
    <row r="731">
      <c r="J731" s="48"/>
      <c r="K731" s="48"/>
      <c r="L731" s="48"/>
    </row>
    <row r="732">
      <c r="J732" s="48"/>
      <c r="K732" s="48"/>
      <c r="L732" s="48"/>
    </row>
    <row r="733">
      <c r="J733" s="48"/>
      <c r="K733" s="48"/>
      <c r="L733" s="48"/>
    </row>
    <row r="734">
      <c r="J734" s="48"/>
      <c r="K734" s="48"/>
      <c r="L734" s="48"/>
    </row>
    <row r="735">
      <c r="J735" s="48"/>
      <c r="K735" s="48"/>
      <c r="L735" s="48"/>
    </row>
    <row r="736">
      <c r="J736" s="48"/>
      <c r="K736" s="48"/>
      <c r="L736" s="48"/>
    </row>
    <row r="737">
      <c r="J737" s="48"/>
      <c r="K737" s="48"/>
      <c r="L737" s="48"/>
    </row>
    <row r="738">
      <c r="J738" s="48"/>
      <c r="K738" s="48"/>
      <c r="L738" s="48"/>
    </row>
    <row r="739">
      <c r="J739" s="48"/>
      <c r="K739" s="48"/>
      <c r="L739" s="48"/>
    </row>
    <row r="740">
      <c r="J740" s="48"/>
      <c r="K740" s="48"/>
      <c r="L740" s="48"/>
    </row>
    <row r="741">
      <c r="J741" s="48"/>
      <c r="K741" s="48"/>
      <c r="L741" s="48"/>
    </row>
    <row r="742">
      <c r="J742" s="48"/>
      <c r="K742" s="48"/>
      <c r="L742" s="48"/>
    </row>
    <row r="743">
      <c r="J743" s="48"/>
      <c r="K743" s="48"/>
      <c r="L743" s="48"/>
    </row>
    <row r="744">
      <c r="J744" s="48"/>
      <c r="K744" s="48"/>
      <c r="L744" s="48"/>
    </row>
    <row r="745">
      <c r="J745" s="48"/>
      <c r="K745" s="48"/>
      <c r="L745" s="48"/>
    </row>
    <row r="746">
      <c r="J746" s="48"/>
      <c r="K746" s="48"/>
      <c r="L746" s="48"/>
    </row>
    <row r="747">
      <c r="J747" s="48"/>
      <c r="K747" s="48"/>
      <c r="L747" s="48"/>
    </row>
    <row r="748">
      <c r="J748" s="48"/>
      <c r="K748" s="48"/>
      <c r="L748" s="48"/>
    </row>
    <row r="749">
      <c r="J749" s="48"/>
      <c r="K749" s="48"/>
      <c r="L749" s="48"/>
    </row>
    <row r="750">
      <c r="J750" s="48"/>
      <c r="K750" s="48"/>
      <c r="L750" s="48"/>
    </row>
    <row r="751">
      <c r="J751" s="48"/>
      <c r="K751" s="48"/>
      <c r="L751" s="48"/>
    </row>
    <row r="752">
      <c r="J752" s="48"/>
      <c r="K752" s="48"/>
      <c r="L752" s="48"/>
    </row>
    <row r="753">
      <c r="J753" s="48"/>
      <c r="K753" s="48"/>
      <c r="L753" s="48"/>
    </row>
    <row r="754">
      <c r="J754" s="48"/>
      <c r="K754" s="48"/>
      <c r="L754" s="48"/>
    </row>
    <row r="755">
      <c r="J755" s="48"/>
      <c r="K755" s="48"/>
      <c r="L755" s="48"/>
    </row>
    <row r="756">
      <c r="J756" s="48"/>
      <c r="K756" s="48"/>
      <c r="L756" s="48"/>
    </row>
    <row r="757">
      <c r="J757" s="48"/>
      <c r="K757" s="48"/>
      <c r="L757" s="48"/>
    </row>
    <row r="758">
      <c r="J758" s="48"/>
      <c r="K758" s="48"/>
      <c r="L758" s="48"/>
    </row>
    <row r="759">
      <c r="J759" s="48"/>
      <c r="K759" s="48"/>
      <c r="L759" s="48"/>
    </row>
    <row r="760">
      <c r="J760" s="48"/>
      <c r="K760" s="48"/>
      <c r="L760" s="48"/>
    </row>
    <row r="761">
      <c r="J761" s="48"/>
      <c r="K761" s="48"/>
      <c r="L761" s="48"/>
    </row>
    <row r="762">
      <c r="J762" s="48"/>
      <c r="K762" s="48"/>
      <c r="L762" s="48"/>
    </row>
    <row r="763">
      <c r="J763" s="48"/>
      <c r="K763" s="48"/>
      <c r="L763" s="48"/>
    </row>
    <row r="764">
      <c r="J764" s="48"/>
      <c r="K764" s="48"/>
      <c r="L764" s="48"/>
    </row>
    <row r="765">
      <c r="J765" s="48"/>
      <c r="K765" s="48"/>
      <c r="L765" s="48"/>
    </row>
    <row r="766">
      <c r="J766" s="48"/>
      <c r="K766" s="48"/>
      <c r="L766" s="48"/>
    </row>
    <row r="767">
      <c r="J767" s="48"/>
      <c r="K767" s="48"/>
      <c r="L767" s="48"/>
    </row>
    <row r="768">
      <c r="J768" s="48"/>
      <c r="K768" s="48"/>
      <c r="L768" s="48"/>
    </row>
    <row r="769">
      <c r="J769" s="48"/>
      <c r="K769" s="48"/>
      <c r="L769" s="48"/>
    </row>
    <row r="770">
      <c r="J770" s="48"/>
      <c r="K770" s="48"/>
      <c r="L770" s="48"/>
    </row>
    <row r="771">
      <c r="J771" s="48"/>
      <c r="K771" s="48"/>
      <c r="L771" s="48"/>
    </row>
    <row r="772">
      <c r="J772" s="48"/>
      <c r="K772" s="48"/>
      <c r="L772" s="48"/>
    </row>
    <row r="773">
      <c r="J773" s="48"/>
      <c r="K773" s="48"/>
      <c r="L773" s="48"/>
    </row>
    <row r="774">
      <c r="J774" s="48"/>
      <c r="K774" s="48"/>
      <c r="L774" s="48"/>
    </row>
    <row r="775">
      <c r="J775" s="48"/>
      <c r="K775" s="48"/>
      <c r="L775" s="48"/>
    </row>
    <row r="776">
      <c r="J776" s="48"/>
      <c r="K776" s="48"/>
      <c r="L776" s="48"/>
    </row>
    <row r="777">
      <c r="J777" s="48"/>
      <c r="K777" s="48"/>
      <c r="L777" s="48"/>
    </row>
    <row r="778">
      <c r="J778" s="48"/>
      <c r="K778" s="48"/>
      <c r="L778" s="48"/>
    </row>
    <row r="779">
      <c r="J779" s="48"/>
      <c r="K779" s="48"/>
      <c r="L779" s="48"/>
    </row>
    <row r="780">
      <c r="J780" s="48"/>
      <c r="K780" s="48"/>
      <c r="L780" s="48"/>
    </row>
    <row r="781">
      <c r="J781" s="48"/>
      <c r="K781" s="48"/>
      <c r="L781" s="48"/>
    </row>
    <row r="782">
      <c r="J782" s="48"/>
      <c r="K782" s="48"/>
      <c r="L782" s="48"/>
    </row>
    <row r="783">
      <c r="J783" s="48"/>
      <c r="K783" s="48"/>
      <c r="L783" s="48"/>
    </row>
    <row r="784">
      <c r="J784" s="48"/>
      <c r="K784" s="48"/>
      <c r="L784" s="48"/>
    </row>
    <row r="785">
      <c r="J785" s="48"/>
      <c r="K785" s="48"/>
      <c r="L785" s="48"/>
    </row>
    <row r="786">
      <c r="J786" s="48"/>
      <c r="K786" s="48"/>
      <c r="L786" s="48"/>
    </row>
    <row r="787">
      <c r="J787" s="48"/>
      <c r="K787" s="48"/>
      <c r="L787" s="48"/>
    </row>
    <row r="788">
      <c r="J788" s="48"/>
      <c r="K788" s="48"/>
      <c r="L788" s="48"/>
    </row>
    <row r="789">
      <c r="J789" s="48"/>
      <c r="K789" s="48"/>
      <c r="L789" s="48"/>
    </row>
    <row r="790">
      <c r="J790" s="48"/>
      <c r="K790" s="48"/>
      <c r="L790" s="48"/>
    </row>
    <row r="791">
      <c r="J791" s="48"/>
      <c r="K791" s="48"/>
      <c r="L791" s="48"/>
    </row>
    <row r="792">
      <c r="J792" s="48"/>
      <c r="K792" s="48"/>
      <c r="L792" s="48"/>
    </row>
    <row r="793">
      <c r="J793" s="48"/>
      <c r="K793" s="48"/>
      <c r="L793" s="48"/>
    </row>
    <row r="794">
      <c r="J794" s="48"/>
      <c r="K794" s="48"/>
      <c r="L794" s="48"/>
    </row>
    <row r="795">
      <c r="J795" s="48"/>
      <c r="K795" s="48"/>
      <c r="L795" s="48"/>
    </row>
    <row r="796">
      <c r="J796" s="48"/>
      <c r="K796" s="48"/>
      <c r="L796" s="48"/>
    </row>
    <row r="797">
      <c r="J797" s="48"/>
      <c r="K797" s="48"/>
      <c r="L797" s="48"/>
    </row>
    <row r="798">
      <c r="J798" s="48"/>
      <c r="K798" s="48"/>
      <c r="L798" s="48"/>
    </row>
    <row r="799">
      <c r="J799" s="48"/>
      <c r="K799" s="48"/>
      <c r="L799" s="48"/>
    </row>
    <row r="800">
      <c r="J800" s="48"/>
      <c r="K800" s="48"/>
      <c r="L800" s="48"/>
    </row>
    <row r="801">
      <c r="J801" s="48"/>
      <c r="K801" s="48"/>
      <c r="L801" s="48"/>
    </row>
    <row r="802">
      <c r="J802" s="48"/>
      <c r="K802" s="48"/>
      <c r="L802" s="48"/>
    </row>
    <row r="803">
      <c r="J803" s="48"/>
      <c r="K803" s="48"/>
      <c r="L803" s="48"/>
    </row>
    <row r="804">
      <c r="J804" s="48"/>
      <c r="K804" s="48"/>
      <c r="L804" s="48"/>
    </row>
    <row r="805">
      <c r="J805" s="48"/>
      <c r="K805" s="48"/>
      <c r="L805" s="48"/>
    </row>
    <row r="806">
      <c r="J806" s="48"/>
      <c r="K806" s="48"/>
      <c r="L806" s="48"/>
    </row>
    <row r="807">
      <c r="J807" s="48"/>
      <c r="K807" s="48"/>
      <c r="L807" s="48"/>
    </row>
    <row r="808">
      <c r="J808" s="48"/>
      <c r="K808" s="48"/>
      <c r="L808" s="48"/>
    </row>
    <row r="809">
      <c r="J809" s="48"/>
      <c r="K809" s="48"/>
      <c r="L809" s="48"/>
    </row>
    <row r="810">
      <c r="J810" s="48"/>
      <c r="K810" s="48"/>
      <c r="L810" s="48"/>
    </row>
    <row r="811">
      <c r="J811" s="48"/>
      <c r="K811" s="48"/>
      <c r="L811" s="48"/>
    </row>
    <row r="812">
      <c r="J812" s="48"/>
      <c r="K812" s="48"/>
      <c r="L812" s="48"/>
    </row>
    <row r="813">
      <c r="J813" s="48"/>
      <c r="K813" s="48"/>
      <c r="L813" s="48"/>
    </row>
    <row r="814">
      <c r="J814" s="48"/>
      <c r="K814" s="48"/>
      <c r="L814" s="48"/>
    </row>
    <row r="815">
      <c r="J815" s="48"/>
      <c r="K815" s="48"/>
      <c r="L815" s="48"/>
    </row>
    <row r="816">
      <c r="J816" s="48"/>
      <c r="K816" s="48"/>
      <c r="L816" s="48"/>
    </row>
    <row r="817">
      <c r="J817" s="48"/>
      <c r="K817" s="48"/>
      <c r="L817" s="48"/>
    </row>
    <row r="818">
      <c r="J818" s="48"/>
      <c r="K818" s="48"/>
      <c r="L818" s="48"/>
    </row>
    <row r="819">
      <c r="J819" s="48"/>
      <c r="K819" s="48"/>
      <c r="L819" s="48"/>
    </row>
    <row r="820">
      <c r="J820" s="48"/>
      <c r="K820" s="48"/>
      <c r="L820" s="48"/>
    </row>
    <row r="821">
      <c r="J821" s="48"/>
      <c r="K821" s="48"/>
      <c r="L821" s="48"/>
    </row>
    <row r="822">
      <c r="J822" s="48"/>
      <c r="K822" s="48"/>
      <c r="L822" s="48"/>
    </row>
    <row r="823">
      <c r="J823" s="48"/>
      <c r="K823" s="48"/>
      <c r="L823" s="48"/>
    </row>
    <row r="824">
      <c r="J824" s="48"/>
      <c r="K824" s="48"/>
      <c r="L824" s="48"/>
    </row>
    <row r="825">
      <c r="J825" s="48"/>
      <c r="K825" s="48"/>
      <c r="L825" s="48"/>
    </row>
    <row r="826">
      <c r="J826" s="48"/>
      <c r="K826" s="48"/>
      <c r="L826" s="48"/>
    </row>
    <row r="827">
      <c r="J827" s="48"/>
      <c r="K827" s="48"/>
      <c r="L827" s="48"/>
    </row>
    <row r="828">
      <c r="J828" s="48"/>
      <c r="K828" s="48"/>
      <c r="L828" s="48"/>
    </row>
    <row r="829">
      <c r="J829" s="48"/>
      <c r="K829" s="48"/>
      <c r="L829" s="48"/>
    </row>
    <row r="830">
      <c r="J830" s="48"/>
      <c r="K830" s="48"/>
      <c r="L830" s="48"/>
    </row>
    <row r="831">
      <c r="J831" s="48"/>
      <c r="K831" s="48"/>
      <c r="L831" s="48"/>
    </row>
    <row r="832">
      <c r="J832" s="48"/>
      <c r="K832" s="48"/>
      <c r="L832" s="48"/>
    </row>
    <row r="833">
      <c r="J833" s="48"/>
      <c r="K833" s="48"/>
      <c r="L833" s="48"/>
    </row>
    <row r="834">
      <c r="J834" s="48"/>
      <c r="K834" s="48"/>
      <c r="L834" s="48"/>
    </row>
    <row r="835">
      <c r="J835" s="48"/>
      <c r="K835" s="48"/>
      <c r="L835" s="48"/>
    </row>
    <row r="836">
      <c r="J836" s="48"/>
      <c r="K836" s="48"/>
      <c r="L836" s="48"/>
    </row>
    <row r="837">
      <c r="J837" s="48"/>
      <c r="K837" s="48"/>
      <c r="L837" s="48"/>
    </row>
    <row r="838">
      <c r="J838" s="48"/>
      <c r="K838" s="48"/>
      <c r="L838" s="48"/>
    </row>
    <row r="839">
      <c r="J839" s="48"/>
      <c r="K839" s="48"/>
      <c r="L839" s="48"/>
    </row>
    <row r="840">
      <c r="J840" s="48"/>
      <c r="K840" s="48"/>
      <c r="L840" s="48"/>
    </row>
    <row r="841">
      <c r="J841" s="48"/>
      <c r="K841" s="48"/>
      <c r="L841" s="48"/>
    </row>
    <row r="842">
      <c r="J842" s="48"/>
      <c r="K842" s="48"/>
      <c r="L842" s="48"/>
    </row>
    <row r="843">
      <c r="J843" s="48"/>
      <c r="K843" s="48"/>
      <c r="L843" s="48"/>
    </row>
    <row r="844">
      <c r="J844" s="48"/>
      <c r="K844" s="48"/>
      <c r="L844" s="48"/>
    </row>
    <row r="845">
      <c r="J845" s="48"/>
      <c r="K845" s="48"/>
      <c r="L845" s="48"/>
    </row>
    <row r="846">
      <c r="J846" s="48"/>
      <c r="K846" s="48"/>
      <c r="L846" s="48"/>
    </row>
    <row r="847">
      <c r="J847" s="48"/>
      <c r="K847" s="48"/>
      <c r="L847" s="48"/>
    </row>
    <row r="848">
      <c r="J848" s="48"/>
      <c r="K848" s="48"/>
      <c r="L848" s="48"/>
    </row>
    <row r="849">
      <c r="J849" s="48"/>
      <c r="K849" s="48"/>
      <c r="L849" s="48"/>
    </row>
    <row r="850">
      <c r="J850" s="48"/>
      <c r="K850" s="48"/>
      <c r="L850" s="48"/>
    </row>
    <row r="851">
      <c r="J851" s="48"/>
      <c r="K851" s="48"/>
      <c r="L851" s="48"/>
    </row>
    <row r="852">
      <c r="J852" s="48"/>
      <c r="K852" s="48"/>
      <c r="L852" s="48"/>
    </row>
    <row r="853">
      <c r="J853" s="48"/>
      <c r="K853" s="48"/>
      <c r="L853" s="48"/>
    </row>
    <row r="854">
      <c r="J854" s="48"/>
      <c r="K854" s="48"/>
      <c r="L854" s="48"/>
    </row>
    <row r="855">
      <c r="J855" s="48"/>
      <c r="K855" s="48"/>
      <c r="L855" s="48"/>
    </row>
    <row r="856">
      <c r="J856" s="48"/>
      <c r="K856" s="48"/>
      <c r="L856" s="48"/>
    </row>
    <row r="857">
      <c r="J857" s="48"/>
      <c r="K857" s="48"/>
      <c r="L857" s="48"/>
    </row>
    <row r="858">
      <c r="J858" s="48"/>
      <c r="K858" s="48"/>
      <c r="L858" s="48"/>
    </row>
    <row r="859">
      <c r="J859" s="48"/>
      <c r="K859" s="48"/>
      <c r="L859" s="48"/>
    </row>
    <row r="860">
      <c r="J860" s="48"/>
      <c r="K860" s="48"/>
      <c r="L860" s="48"/>
    </row>
    <row r="861">
      <c r="J861" s="48"/>
      <c r="K861" s="48"/>
      <c r="L861" s="48"/>
    </row>
    <row r="862">
      <c r="J862" s="48"/>
      <c r="K862" s="48"/>
      <c r="L862" s="48"/>
    </row>
    <row r="863">
      <c r="J863" s="48"/>
      <c r="K863" s="48"/>
      <c r="L863" s="48"/>
    </row>
    <row r="864">
      <c r="J864" s="48"/>
      <c r="K864" s="48"/>
      <c r="L864" s="48"/>
    </row>
    <row r="865">
      <c r="J865" s="48"/>
      <c r="K865" s="48"/>
      <c r="L865" s="48"/>
    </row>
    <row r="866">
      <c r="J866" s="48"/>
      <c r="K866" s="48"/>
      <c r="L866" s="48"/>
    </row>
    <row r="867">
      <c r="J867" s="48"/>
      <c r="K867" s="48"/>
      <c r="L867" s="48"/>
    </row>
    <row r="868">
      <c r="J868" s="48"/>
      <c r="K868" s="48"/>
      <c r="L868" s="48"/>
    </row>
    <row r="869">
      <c r="J869" s="48"/>
      <c r="K869" s="48"/>
      <c r="L869" s="48"/>
    </row>
    <row r="870">
      <c r="J870" s="48"/>
      <c r="K870" s="48"/>
      <c r="L870" s="48"/>
    </row>
    <row r="871">
      <c r="J871" s="48"/>
      <c r="K871" s="48"/>
      <c r="L871" s="48"/>
    </row>
    <row r="872">
      <c r="J872" s="48"/>
      <c r="K872" s="48"/>
      <c r="L872" s="48"/>
    </row>
    <row r="873">
      <c r="J873" s="48"/>
      <c r="K873" s="48"/>
      <c r="L873" s="48"/>
    </row>
    <row r="874">
      <c r="J874" s="48"/>
      <c r="K874" s="48"/>
      <c r="L874" s="48"/>
    </row>
    <row r="875">
      <c r="J875" s="48"/>
      <c r="K875" s="48"/>
      <c r="L875" s="48"/>
    </row>
    <row r="876">
      <c r="J876" s="48"/>
      <c r="K876" s="48"/>
      <c r="L876" s="48"/>
    </row>
    <row r="877">
      <c r="J877" s="48"/>
      <c r="K877" s="48"/>
      <c r="L877" s="48"/>
    </row>
    <row r="878">
      <c r="J878" s="48"/>
      <c r="K878" s="48"/>
      <c r="L878" s="48"/>
    </row>
    <row r="879">
      <c r="J879" s="48"/>
      <c r="K879" s="48"/>
      <c r="L879" s="48"/>
    </row>
    <row r="880">
      <c r="J880" s="48"/>
      <c r="K880" s="48"/>
      <c r="L880" s="48"/>
    </row>
    <row r="881">
      <c r="J881" s="48"/>
      <c r="K881" s="48"/>
      <c r="L881" s="48"/>
    </row>
    <row r="882">
      <c r="J882" s="48"/>
      <c r="K882" s="48"/>
      <c r="L882" s="48"/>
    </row>
    <row r="883">
      <c r="J883" s="48"/>
      <c r="K883" s="48"/>
      <c r="L883" s="48"/>
    </row>
    <row r="884">
      <c r="J884" s="48"/>
      <c r="K884" s="48"/>
      <c r="L884" s="48"/>
    </row>
    <row r="885">
      <c r="J885" s="48"/>
      <c r="K885" s="48"/>
      <c r="L885" s="48"/>
    </row>
    <row r="886">
      <c r="J886" s="48"/>
      <c r="K886" s="48"/>
      <c r="L886" s="48"/>
    </row>
    <row r="887">
      <c r="J887" s="48"/>
      <c r="K887" s="48"/>
      <c r="L887" s="48"/>
    </row>
    <row r="888">
      <c r="J888" s="48"/>
      <c r="K888" s="48"/>
      <c r="L888" s="48"/>
    </row>
    <row r="889">
      <c r="J889" s="48"/>
      <c r="K889" s="48"/>
      <c r="L889" s="48"/>
    </row>
    <row r="890">
      <c r="J890" s="48"/>
      <c r="K890" s="48"/>
      <c r="L890" s="48"/>
    </row>
    <row r="891">
      <c r="J891" s="48"/>
      <c r="K891" s="48"/>
      <c r="L891" s="48"/>
    </row>
    <row r="892">
      <c r="J892" s="48"/>
      <c r="K892" s="48"/>
      <c r="L892" s="48"/>
    </row>
    <row r="893">
      <c r="J893" s="48"/>
      <c r="K893" s="48"/>
      <c r="L893" s="48"/>
    </row>
    <row r="894">
      <c r="J894" s="48"/>
      <c r="K894" s="48"/>
      <c r="L894" s="48"/>
    </row>
    <row r="895">
      <c r="J895" s="48"/>
      <c r="K895" s="48"/>
      <c r="L895" s="48"/>
    </row>
    <row r="896">
      <c r="J896" s="48"/>
      <c r="K896" s="48"/>
      <c r="L896" s="48"/>
    </row>
    <row r="897">
      <c r="J897" s="48"/>
      <c r="K897" s="48"/>
      <c r="L897" s="48"/>
    </row>
    <row r="898">
      <c r="J898" s="48"/>
      <c r="K898" s="48"/>
      <c r="L898" s="48"/>
    </row>
    <row r="899">
      <c r="J899" s="48"/>
      <c r="K899" s="48"/>
      <c r="L899" s="48"/>
    </row>
    <row r="900">
      <c r="J900" s="48"/>
      <c r="K900" s="48"/>
      <c r="L900" s="48"/>
    </row>
    <row r="901">
      <c r="J901" s="48"/>
      <c r="K901" s="48"/>
      <c r="L901" s="48"/>
    </row>
    <row r="902">
      <c r="J902" s="48"/>
      <c r="K902" s="48"/>
      <c r="L902" s="48"/>
    </row>
    <row r="903">
      <c r="J903" s="48"/>
      <c r="K903" s="48"/>
      <c r="L903" s="48"/>
    </row>
    <row r="904">
      <c r="J904" s="48"/>
      <c r="K904" s="48"/>
      <c r="L904" s="48"/>
    </row>
    <row r="905">
      <c r="J905" s="48"/>
      <c r="K905" s="48"/>
      <c r="L905" s="48"/>
    </row>
    <row r="906">
      <c r="J906" s="48"/>
      <c r="K906" s="48"/>
      <c r="L906" s="48"/>
    </row>
    <row r="907">
      <c r="J907" s="48"/>
      <c r="K907" s="48"/>
      <c r="L907" s="48"/>
    </row>
    <row r="908">
      <c r="J908" s="48"/>
      <c r="K908" s="48"/>
      <c r="L908" s="48"/>
    </row>
    <row r="909">
      <c r="J909" s="48"/>
      <c r="K909" s="48"/>
      <c r="L909" s="48"/>
    </row>
    <row r="910">
      <c r="J910" s="48"/>
      <c r="K910" s="48"/>
      <c r="L910" s="48"/>
    </row>
    <row r="911">
      <c r="J911" s="48"/>
      <c r="K911" s="48"/>
      <c r="L911" s="48"/>
    </row>
    <row r="912">
      <c r="J912" s="48"/>
      <c r="K912" s="48"/>
      <c r="L912" s="48"/>
    </row>
    <row r="913">
      <c r="J913" s="48"/>
      <c r="K913" s="48"/>
      <c r="L913" s="48"/>
    </row>
    <row r="914">
      <c r="J914" s="48"/>
      <c r="K914" s="48"/>
      <c r="L914" s="48"/>
    </row>
    <row r="915">
      <c r="J915" s="48"/>
      <c r="K915" s="48"/>
      <c r="L915" s="48"/>
    </row>
    <row r="916">
      <c r="J916" s="48"/>
      <c r="K916" s="48"/>
      <c r="L916" s="48"/>
    </row>
    <row r="917">
      <c r="J917" s="48"/>
      <c r="K917" s="48"/>
      <c r="L917" s="48"/>
    </row>
    <row r="918">
      <c r="J918" s="48"/>
      <c r="K918" s="48"/>
      <c r="L918" s="48"/>
    </row>
    <row r="919">
      <c r="J919" s="48"/>
      <c r="K919" s="48"/>
      <c r="L919" s="48"/>
    </row>
    <row r="920">
      <c r="J920" s="48"/>
      <c r="K920" s="48"/>
      <c r="L920" s="48"/>
    </row>
    <row r="921">
      <c r="J921" s="48"/>
      <c r="K921" s="48"/>
      <c r="L921" s="48"/>
    </row>
    <row r="922">
      <c r="J922" s="48"/>
      <c r="K922" s="48"/>
      <c r="L922" s="48"/>
    </row>
    <row r="923">
      <c r="J923" s="48"/>
      <c r="K923" s="48"/>
      <c r="L923" s="48"/>
    </row>
    <row r="924">
      <c r="J924" s="48"/>
      <c r="K924" s="48"/>
      <c r="L924" s="48"/>
    </row>
    <row r="925">
      <c r="J925" s="48"/>
      <c r="K925" s="48"/>
      <c r="L925" s="48"/>
    </row>
    <row r="926">
      <c r="J926" s="48"/>
      <c r="K926" s="48"/>
      <c r="L926" s="48"/>
    </row>
    <row r="927">
      <c r="J927" s="48"/>
      <c r="K927" s="48"/>
      <c r="L927" s="48"/>
    </row>
    <row r="928">
      <c r="J928" s="48"/>
      <c r="K928" s="48"/>
      <c r="L928" s="48"/>
    </row>
    <row r="929">
      <c r="J929" s="48"/>
      <c r="K929" s="48"/>
      <c r="L929" s="48"/>
    </row>
    <row r="930">
      <c r="J930" s="48"/>
      <c r="K930" s="48"/>
      <c r="L930" s="48"/>
    </row>
    <row r="931">
      <c r="J931" s="48"/>
      <c r="K931" s="48"/>
      <c r="L931" s="48"/>
    </row>
    <row r="932">
      <c r="J932" s="48"/>
      <c r="K932" s="48"/>
      <c r="L932" s="48"/>
    </row>
    <row r="933">
      <c r="J933" s="48"/>
      <c r="K933" s="48"/>
      <c r="L933" s="48"/>
    </row>
    <row r="934">
      <c r="J934" s="48"/>
      <c r="K934" s="48"/>
      <c r="L934" s="48"/>
    </row>
    <row r="935">
      <c r="J935" s="48"/>
      <c r="K935" s="48"/>
      <c r="L935" s="48"/>
    </row>
    <row r="936">
      <c r="J936" s="48"/>
      <c r="K936" s="48"/>
      <c r="L936" s="48"/>
    </row>
    <row r="937">
      <c r="J937" s="48"/>
      <c r="K937" s="48"/>
      <c r="L937" s="48"/>
    </row>
    <row r="938">
      <c r="J938" s="48"/>
      <c r="K938" s="48"/>
      <c r="L938" s="48"/>
    </row>
    <row r="939">
      <c r="J939" s="48"/>
      <c r="K939" s="48"/>
      <c r="L939" s="48"/>
    </row>
    <row r="940">
      <c r="J940" s="48"/>
      <c r="K940" s="48"/>
      <c r="L940" s="48"/>
    </row>
    <row r="941">
      <c r="J941" s="48"/>
      <c r="K941" s="48"/>
      <c r="L941" s="48"/>
    </row>
    <row r="942">
      <c r="J942" s="48"/>
      <c r="K942" s="48"/>
      <c r="L942" s="48"/>
    </row>
    <row r="943">
      <c r="J943" s="48"/>
      <c r="K943" s="48"/>
      <c r="L943" s="48"/>
    </row>
    <row r="944">
      <c r="J944" s="48"/>
      <c r="K944" s="48"/>
      <c r="L944" s="48"/>
    </row>
    <row r="945">
      <c r="J945" s="48"/>
      <c r="K945" s="48"/>
      <c r="L945" s="48"/>
    </row>
    <row r="946">
      <c r="J946" s="48"/>
      <c r="K946" s="48"/>
      <c r="L946" s="48"/>
    </row>
    <row r="947">
      <c r="J947" s="48"/>
      <c r="K947" s="48"/>
      <c r="L947" s="48"/>
    </row>
    <row r="948">
      <c r="J948" s="48"/>
      <c r="K948" s="48"/>
      <c r="L948" s="48"/>
    </row>
    <row r="949">
      <c r="J949" s="48"/>
      <c r="K949" s="48"/>
      <c r="L949" s="48"/>
    </row>
    <row r="950">
      <c r="J950" s="48"/>
      <c r="K950" s="48"/>
      <c r="L950" s="48"/>
    </row>
    <row r="951">
      <c r="J951" s="48"/>
      <c r="K951" s="48"/>
      <c r="L951" s="48"/>
    </row>
    <row r="952">
      <c r="J952" s="48"/>
      <c r="K952" s="48"/>
      <c r="L952" s="48"/>
    </row>
    <row r="953">
      <c r="J953" s="48"/>
      <c r="K953" s="48"/>
      <c r="L953" s="48"/>
    </row>
    <row r="954">
      <c r="J954" s="48"/>
      <c r="K954" s="48"/>
      <c r="L954" s="48"/>
    </row>
    <row r="955">
      <c r="J955" s="48"/>
      <c r="K955" s="48"/>
      <c r="L955" s="48"/>
    </row>
    <row r="956">
      <c r="J956" s="48"/>
      <c r="K956" s="48"/>
      <c r="L956" s="48"/>
    </row>
    <row r="957">
      <c r="J957" s="48"/>
      <c r="K957" s="48"/>
      <c r="L957" s="48"/>
    </row>
    <row r="958">
      <c r="J958" s="48"/>
      <c r="K958" s="48"/>
      <c r="L958" s="48"/>
    </row>
    <row r="959">
      <c r="J959" s="48"/>
      <c r="K959" s="48"/>
      <c r="L959" s="48"/>
    </row>
    <row r="960">
      <c r="J960" s="48"/>
      <c r="K960" s="48"/>
      <c r="L960" s="48"/>
    </row>
    <row r="961">
      <c r="J961" s="48"/>
      <c r="K961" s="48"/>
      <c r="L961" s="48"/>
    </row>
    <row r="962">
      <c r="J962" s="48"/>
      <c r="K962" s="48"/>
      <c r="L962" s="48"/>
    </row>
    <row r="963">
      <c r="J963" s="48"/>
      <c r="K963" s="48"/>
      <c r="L963" s="48"/>
    </row>
    <row r="964">
      <c r="J964" s="48"/>
      <c r="K964" s="48"/>
      <c r="L964" s="48"/>
    </row>
    <row r="965">
      <c r="J965" s="48"/>
      <c r="K965" s="48"/>
      <c r="L965" s="48"/>
    </row>
    <row r="966">
      <c r="J966" s="48"/>
      <c r="K966" s="48"/>
      <c r="L966" s="48"/>
    </row>
    <row r="967">
      <c r="J967" s="48"/>
      <c r="K967" s="48"/>
      <c r="L967" s="48"/>
    </row>
    <row r="968">
      <c r="J968" s="48"/>
      <c r="K968" s="48"/>
      <c r="L968" s="48"/>
    </row>
    <row r="969">
      <c r="J969" s="48"/>
      <c r="K969" s="48"/>
      <c r="L969" s="48"/>
    </row>
    <row r="970">
      <c r="J970" s="48"/>
      <c r="K970" s="48"/>
      <c r="L970" s="48"/>
    </row>
    <row r="971">
      <c r="J971" s="48"/>
      <c r="K971" s="48"/>
      <c r="L971" s="48"/>
    </row>
    <row r="972">
      <c r="J972" s="48"/>
      <c r="K972" s="48"/>
      <c r="L972" s="48"/>
    </row>
    <row r="973">
      <c r="J973" s="48"/>
      <c r="K973" s="48"/>
      <c r="L973" s="48"/>
    </row>
    <row r="974">
      <c r="J974" s="48"/>
      <c r="K974" s="48"/>
      <c r="L974" s="48"/>
    </row>
    <row r="975">
      <c r="J975" s="48"/>
      <c r="K975" s="48"/>
      <c r="L975" s="48"/>
    </row>
    <row r="976">
      <c r="J976" s="48"/>
      <c r="K976" s="48"/>
      <c r="L976" s="48"/>
    </row>
    <row r="977">
      <c r="J977" s="48"/>
      <c r="K977" s="48"/>
      <c r="L977" s="48"/>
    </row>
    <row r="978">
      <c r="J978" s="48"/>
      <c r="K978" s="48"/>
      <c r="L978" s="48"/>
    </row>
    <row r="979">
      <c r="J979" s="48"/>
      <c r="K979" s="48"/>
      <c r="L979" s="48"/>
    </row>
    <row r="980">
      <c r="J980" s="48"/>
      <c r="K980" s="48"/>
      <c r="L980" s="48"/>
    </row>
    <row r="981">
      <c r="J981" s="48"/>
      <c r="K981" s="48"/>
      <c r="L981" s="48"/>
    </row>
    <row r="982">
      <c r="J982" s="48"/>
      <c r="K982" s="48"/>
      <c r="L982" s="48"/>
    </row>
    <row r="983">
      <c r="J983" s="48"/>
      <c r="K983" s="48"/>
      <c r="L983" s="48"/>
    </row>
    <row r="984">
      <c r="J984" s="48"/>
      <c r="K984" s="48"/>
      <c r="L984" s="48"/>
    </row>
    <row r="985">
      <c r="J985" s="48"/>
      <c r="K985" s="48"/>
      <c r="L985" s="48"/>
    </row>
    <row r="986">
      <c r="J986" s="48"/>
      <c r="K986" s="48"/>
      <c r="L986" s="48"/>
    </row>
    <row r="987">
      <c r="J987" s="48"/>
      <c r="K987" s="48"/>
      <c r="L987" s="48"/>
    </row>
    <row r="988">
      <c r="J988" s="48"/>
      <c r="K988" s="48"/>
      <c r="L988" s="48"/>
    </row>
    <row r="989">
      <c r="J989" s="48"/>
      <c r="K989" s="48"/>
      <c r="L989" s="48"/>
    </row>
    <row r="990">
      <c r="J990" s="48"/>
      <c r="K990" s="48"/>
      <c r="L990" s="48"/>
    </row>
    <row r="991">
      <c r="J991" s="48"/>
      <c r="K991" s="48"/>
      <c r="L991" s="48"/>
    </row>
    <row r="992">
      <c r="J992" s="48"/>
      <c r="K992" s="48"/>
      <c r="L992" s="48"/>
    </row>
    <row r="993">
      <c r="J993" s="48"/>
      <c r="K993" s="48"/>
      <c r="L993" s="48"/>
    </row>
    <row r="994">
      <c r="J994" s="48"/>
      <c r="K994" s="48"/>
      <c r="L994" s="48"/>
    </row>
    <row r="995">
      <c r="J995" s="48"/>
      <c r="K995" s="48"/>
      <c r="L995" s="48"/>
    </row>
    <row r="996">
      <c r="J996" s="48"/>
      <c r="K996" s="48"/>
      <c r="L996" s="48"/>
    </row>
    <row r="997">
      <c r="J997" s="48"/>
      <c r="K997" s="48"/>
      <c r="L997" s="48"/>
    </row>
    <row r="998">
      <c r="J998" s="48"/>
      <c r="K998" s="48"/>
      <c r="L998" s="48"/>
    </row>
    <row r="999">
      <c r="J999" s="48"/>
      <c r="K999" s="48"/>
      <c r="L999" s="48"/>
    </row>
    <row r="1000">
      <c r="J1000" s="48"/>
      <c r="K1000" s="48"/>
      <c r="L1000" s="48"/>
    </row>
    <row r="1001">
      <c r="J1001" s="48"/>
      <c r="K1001" s="48"/>
      <c r="L1001" s="48"/>
    </row>
    <row r="1002">
      <c r="J1002" s="48"/>
      <c r="K1002" s="48"/>
      <c r="L1002" s="48"/>
    </row>
    <row r="1003">
      <c r="J1003" s="48"/>
      <c r="K1003" s="48"/>
      <c r="L1003" s="48"/>
    </row>
    <row r="1004">
      <c r="J1004" s="48"/>
      <c r="K1004" s="48"/>
      <c r="L1004" s="48"/>
    </row>
    <row r="1005">
      <c r="J1005" s="48"/>
      <c r="K1005" s="48"/>
      <c r="L1005" s="48"/>
    </row>
    <row r="1006">
      <c r="J1006" s="48"/>
      <c r="K1006" s="48"/>
      <c r="L1006" s="48"/>
    </row>
    <row r="1007">
      <c r="J1007" s="48"/>
      <c r="K1007" s="48"/>
      <c r="L1007" s="48"/>
    </row>
    <row r="1008">
      <c r="J1008" s="48"/>
      <c r="K1008" s="48"/>
      <c r="L1008" s="48"/>
    </row>
    <row r="1009">
      <c r="J1009" s="48"/>
      <c r="K1009" s="48"/>
      <c r="L1009" s="48"/>
    </row>
    <row r="1010">
      <c r="J1010" s="48"/>
      <c r="K1010" s="48"/>
      <c r="L1010" s="48"/>
    </row>
    <row r="1011">
      <c r="J1011" s="48"/>
      <c r="K1011" s="48"/>
      <c r="L1011" s="48"/>
    </row>
    <row r="1012">
      <c r="J1012" s="48"/>
      <c r="K1012" s="48"/>
      <c r="L1012" s="48"/>
    </row>
    <row r="1013">
      <c r="J1013" s="48"/>
      <c r="K1013" s="48"/>
      <c r="L1013" s="48"/>
    </row>
    <row r="1014">
      <c r="J1014" s="48"/>
      <c r="K1014" s="48"/>
      <c r="L1014" s="4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8.25"/>
    <col customWidth="1" min="3" max="3" width="21.38"/>
    <col customWidth="1" min="4" max="4" width="8.0"/>
    <col customWidth="1" min="5" max="5" width="8.5"/>
    <col customWidth="1" min="6" max="6" width="21.38"/>
    <col customWidth="1" min="7" max="8" width="8.5"/>
    <col customWidth="1" min="9" max="9" width="12.38"/>
    <col customWidth="1" min="10" max="10" width="8.5"/>
  </cols>
  <sheetData>
    <row r="1">
      <c r="A1" s="2" t="s">
        <v>0</v>
      </c>
      <c r="B1" s="2" t="s">
        <v>6</v>
      </c>
      <c r="C1" s="2" t="s">
        <v>2</v>
      </c>
      <c r="D1" s="2" t="s">
        <v>3</v>
      </c>
      <c r="E1" s="2" t="s">
        <v>8</v>
      </c>
      <c r="F1" s="2" t="s">
        <v>2</v>
      </c>
      <c r="G1" s="2" t="s">
        <v>3</v>
      </c>
      <c r="H1" s="2" t="s">
        <v>10</v>
      </c>
      <c r="I1" s="2" t="s">
        <v>14</v>
      </c>
      <c r="J1" s="7" t="s">
        <v>15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4">
        <v>44462.0</v>
      </c>
      <c r="B2" s="16">
        <v>0.4895833333333333</v>
      </c>
      <c r="C2" s="2" t="s">
        <v>23</v>
      </c>
      <c r="D2" s="2" t="s">
        <v>24</v>
      </c>
      <c r="E2" s="16">
        <v>0.6145833333333334</v>
      </c>
      <c r="F2" s="2" t="s">
        <v>37</v>
      </c>
      <c r="G2" s="2" t="s">
        <v>24</v>
      </c>
      <c r="H2" s="2">
        <v>209.4</v>
      </c>
      <c r="I2" s="24">
        <f t="shared" ref="I2:I7" si="1">E2-B2</f>
        <v>0.125</v>
      </c>
      <c r="J2" s="25">
        <v>0.0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4">
        <v>44463.0</v>
      </c>
      <c r="B3" s="16">
        <v>0.38819444444444445</v>
      </c>
      <c r="C3" s="2" t="s">
        <v>37</v>
      </c>
      <c r="D3" s="2" t="s">
        <v>24</v>
      </c>
      <c r="E3" s="16">
        <v>0.7708333333333334</v>
      </c>
      <c r="F3" s="2" t="s">
        <v>28</v>
      </c>
      <c r="G3" s="2" t="s">
        <v>30</v>
      </c>
      <c r="H3" s="29">
        <f>30761-30503</f>
        <v>258</v>
      </c>
      <c r="I3" s="24">
        <f t="shared" si="1"/>
        <v>0.3826388889</v>
      </c>
      <c r="J3" s="25">
        <v>0.16666666666666666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4">
        <v>44464.0</v>
      </c>
      <c r="B4" s="16">
        <v>0.3020833333333333</v>
      </c>
      <c r="C4" s="2" t="s">
        <v>28</v>
      </c>
      <c r="D4" s="2" t="s">
        <v>30</v>
      </c>
      <c r="E4" s="16">
        <v>0.6354166666666666</v>
      </c>
      <c r="F4" s="2" t="s">
        <v>68</v>
      </c>
      <c r="G4" s="2" t="s">
        <v>34</v>
      </c>
      <c r="H4" s="2">
        <v>485.4</v>
      </c>
      <c r="I4" s="24">
        <f t="shared" si="1"/>
        <v>0.3333333333</v>
      </c>
      <c r="J4" s="25">
        <v>0.0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4">
        <v>44465.0</v>
      </c>
      <c r="B5" s="16">
        <v>0.3458333333333333</v>
      </c>
      <c r="C5" s="2" t="s">
        <v>68</v>
      </c>
      <c r="D5" s="2" t="s">
        <v>34</v>
      </c>
      <c r="E5" s="16">
        <v>0.6194444444444445</v>
      </c>
      <c r="F5" s="2" t="s">
        <v>36</v>
      </c>
      <c r="G5" s="2" t="s">
        <v>34</v>
      </c>
      <c r="H5" s="2">
        <v>249.0</v>
      </c>
      <c r="I5" s="24">
        <f t="shared" si="1"/>
        <v>0.2736111111</v>
      </c>
      <c r="J5" s="25">
        <v>0.0625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4">
        <v>44466.0</v>
      </c>
      <c r="B6" s="16">
        <v>0.2965277777777778</v>
      </c>
      <c r="C6" s="2" t="s">
        <v>36</v>
      </c>
      <c r="D6" s="2" t="s">
        <v>34</v>
      </c>
      <c r="E6" s="16">
        <v>0.575</v>
      </c>
      <c r="F6" s="2" t="s">
        <v>40</v>
      </c>
      <c r="G6" s="2" t="s">
        <v>39</v>
      </c>
      <c r="H6" s="2">
        <v>386.0</v>
      </c>
      <c r="I6" s="24">
        <f t="shared" si="1"/>
        <v>0.2784722222</v>
      </c>
      <c r="J6" s="25">
        <v>0.0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4">
        <v>44467.0</v>
      </c>
      <c r="B7" s="16">
        <v>0.30416666666666664</v>
      </c>
      <c r="C7" s="2" t="s">
        <v>40</v>
      </c>
      <c r="D7" s="2" t="s">
        <v>39</v>
      </c>
      <c r="E7" s="16">
        <v>0.5888888888888889</v>
      </c>
      <c r="F7" s="2" t="s">
        <v>46</v>
      </c>
      <c r="G7" s="2" t="s">
        <v>44</v>
      </c>
      <c r="H7" s="29">
        <f>32303-31904</f>
        <v>399</v>
      </c>
      <c r="I7" s="24">
        <f t="shared" si="1"/>
        <v>0.2847222222</v>
      </c>
      <c r="J7" s="25">
        <v>0.0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2" t="s">
        <v>92</v>
      </c>
      <c r="B8" s="24">
        <f>average(B3:B7)</f>
        <v>0.3273611111</v>
      </c>
      <c r="C8" s="29"/>
      <c r="D8" s="29"/>
      <c r="E8" s="24">
        <f>average(E3:E7)</f>
        <v>0.6379166667</v>
      </c>
      <c r="F8" s="24">
        <f>E8-B8</f>
        <v>0.3105555556</v>
      </c>
      <c r="G8" s="2" t="s">
        <v>92</v>
      </c>
      <c r="H8" s="41">
        <f>average(H3:H7)</f>
        <v>355.48</v>
      </c>
      <c r="I8" s="29"/>
      <c r="J8" s="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2" t="s">
        <v>111</v>
      </c>
      <c r="B9" s="24">
        <f>min(B3:B7)</f>
        <v>0.2965277778</v>
      </c>
      <c r="C9" s="29"/>
      <c r="D9" s="29"/>
      <c r="E9" s="24">
        <f>min(E3:E7)</f>
        <v>0.575</v>
      </c>
      <c r="F9" s="29"/>
      <c r="G9" s="2" t="s">
        <v>113</v>
      </c>
      <c r="H9" s="41">
        <f>min(H3:H7)</f>
        <v>249</v>
      </c>
      <c r="I9" s="29"/>
      <c r="J9" s="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2" t="s">
        <v>115</v>
      </c>
      <c r="B10" s="24">
        <f>max(B3:B7)</f>
        <v>0.3881944444</v>
      </c>
      <c r="C10" s="29"/>
      <c r="D10" s="29"/>
      <c r="E10" s="24">
        <f>max(E3:E7)</f>
        <v>0.7708333333</v>
      </c>
      <c r="F10" s="29"/>
      <c r="G10" s="2" t="s">
        <v>117</v>
      </c>
      <c r="H10" s="41">
        <f>max(H3:H7)</f>
        <v>485.4</v>
      </c>
      <c r="I10" s="29"/>
      <c r="J10" s="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1.5"/>
    <col customWidth="1" min="3" max="3" width="18.38"/>
    <col customWidth="1" min="4" max="4" width="8.0"/>
    <col customWidth="1" min="5" max="6" width="12.0"/>
    <col customWidth="1" min="7" max="7" width="18.13"/>
    <col customWidth="1" min="8" max="8" width="8.25"/>
    <col customWidth="1" min="9" max="9" width="16.5"/>
    <col customWidth="1" min="10" max="10" width="11.75"/>
    <col customWidth="1" min="11" max="11" width="17.0"/>
  </cols>
  <sheetData>
    <row r="1">
      <c r="A1" s="2" t="s">
        <v>0</v>
      </c>
      <c r="B1" s="2" t="s">
        <v>257</v>
      </c>
      <c r="C1" s="2" t="s">
        <v>2</v>
      </c>
      <c r="D1" s="2" t="s">
        <v>3</v>
      </c>
      <c r="E1" s="71" t="s">
        <v>258</v>
      </c>
      <c r="F1" s="72" t="s">
        <v>259</v>
      </c>
      <c r="G1" s="2" t="s">
        <v>2</v>
      </c>
      <c r="H1" s="2" t="s">
        <v>3</v>
      </c>
      <c r="I1" s="2" t="s">
        <v>260</v>
      </c>
      <c r="J1" s="2" t="s">
        <v>10</v>
      </c>
      <c r="K1" s="7" t="s">
        <v>261</v>
      </c>
    </row>
    <row r="2" ht="26.25" customHeight="1">
      <c r="A2" s="32"/>
      <c r="B2" s="32"/>
      <c r="C2" s="32"/>
      <c r="D2" s="32"/>
      <c r="E2" s="73"/>
      <c r="F2" s="74"/>
      <c r="G2" s="32"/>
      <c r="H2" s="32"/>
      <c r="I2" s="32"/>
      <c r="J2" s="32"/>
      <c r="K2" s="32"/>
    </row>
    <row r="3" ht="26.25" customHeight="1">
      <c r="A3" s="32"/>
      <c r="B3" s="32"/>
      <c r="C3" s="32"/>
      <c r="D3" s="32"/>
      <c r="E3" s="73"/>
      <c r="F3" s="74"/>
      <c r="G3" s="32"/>
      <c r="H3" s="32"/>
      <c r="I3" s="32"/>
      <c r="J3" s="32"/>
      <c r="K3" s="32"/>
    </row>
    <row r="4" ht="26.25" customHeight="1">
      <c r="A4" s="32"/>
      <c r="B4" s="32"/>
      <c r="C4" s="32"/>
      <c r="D4" s="32"/>
      <c r="E4" s="73"/>
      <c r="F4" s="74"/>
      <c r="G4" s="32"/>
      <c r="H4" s="32"/>
      <c r="I4" s="32"/>
      <c r="J4" s="32"/>
      <c r="K4" s="32"/>
    </row>
    <row r="5" ht="26.25" customHeight="1">
      <c r="A5" s="32"/>
      <c r="B5" s="32"/>
      <c r="C5" s="32"/>
      <c r="D5" s="32"/>
      <c r="E5" s="73"/>
      <c r="F5" s="74"/>
      <c r="G5" s="32"/>
      <c r="H5" s="32"/>
      <c r="I5" s="32"/>
      <c r="J5" s="32"/>
      <c r="K5" s="32"/>
    </row>
    <row r="6" ht="26.25" customHeight="1">
      <c r="A6" s="32"/>
      <c r="B6" s="32"/>
      <c r="C6" s="32"/>
      <c r="D6" s="32"/>
      <c r="E6" s="73"/>
      <c r="F6" s="74"/>
      <c r="G6" s="32"/>
      <c r="H6" s="32"/>
      <c r="I6" s="32"/>
      <c r="J6" s="32"/>
      <c r="K6" s="32"/>
    </row>
    <row r="7" ht="26.25" customHeight="1">
      <c r="A7" s="32"/>
      <c r="B7" s="32"/>
      <c r="C7" s="32"/>
      <c r="D7" s="32"/>
      <c r="E7" s="73"/>
      <c r="F7" s="74"/>
      <c r="G7" s="32"/>
      <c r="H7" s="32"/>
      <c r="I7" s="32"/>
      <c r="J7" s="32"/>
      <c r="K7" s="32"/>
    </row>
    <row r="8" ht="26.25" customHeight="1">
      <c r="A8" s="32"/>
      <c r="B8" s="32"/>
      <c r="C8" s="32"/>
      <c r="D8" s="32"/>
      <c r="E8" s="73"/>
      <c r="F8" s="74"/>
      <c r="G8" s="32"/>
      <c r="H8" s="32"/>
      <c r="I8" s="32"/>
      <c r="J8" s="32"/>
      <c r="K8" s="32"/>
    </row>
    <row r="9" ht="26.25" customHeight="1">
      <c r="A9" s="32"/>
      <c r="B9" s="32"/>
      <c r="C9" s="32"/>
      <c r="D9" s="32"/>
      <c r="E9" s="73"/>
      <c r="F9" s="74"/>
      <c r="G9" s="32"/>
      <c r="H9" s="32"/>
      <c r="I9" s="32"/>
      <c r="J9" s="32"/>
      <c r="K9" s="32"/>
    </row>
    <row r="10" ht="26.25" customHeight="1">
      <c r="A10" s="32"/>
      <c r="B10" s="32"/>
      <c r="C10" s="32"/>
      <c r="D10" s="32"/>
      <c r="E10" s="73"/>
      <c r="F10" s="74"/>
      <c r="G10" s="32"/>
      <c r="H10" s="32"/>
      <c r="I10" s="32"/>
      <c r="J10" s="32"/>
      <c r="K10" s="32"/>
    </row>
    <row r="11" ht="26.25" customHeight="1">
      <c r="A11" s="32"/>
      <c r="B11" s="32"/>
      <c r="C11" s="32"/>
      <c r="D11" s="32"/>
      <c r="E11" s="73"/>
      <c r="F11" s="74"/>
      <c r="G11" s="32"/>
      <c r="H11" s="32"/>
      <c r="I11" s="32"/>
      <c r="J11" s="32"/>
      <c r="K11" s="32"/>
    </row>
    <row r="12" ht="26.25" customHeight="1">
      <c r="A12" s="32"/>
      <c r="B12" s="32"/>
      <c r="C12" s="32"/>
      <c r="D12" s="32"/>
      <c r="E12" s="73"/>
      <c r="F12" s="74"/>
      <c r="G12" s="32"/>
      <c r="H12" s="32"/>
      <c r="I12" s="32"/>
      <c r="J12" s="32"/>
      <c r="K12" s="32"/>
    </row>
    <row r="13" ht="26.25" customHeight="1">
      <c r="A13" s="32"/>
      <c r="B13" s="32"/>
      <c r="C13" s="32"/>
      <c r="D13" s="32"/>
      <c r="E13" s="73"/>
      <c r="F13" s="74"/>
      <c r="G13" s="32"/>
      <c r="H13" s="32"/>
      <c r="I13" s="32"/>
      <c r="J13" s="32"/>
      <c r="K13" s="32"/>
    </row>
    <row r="14" ht="26.25" customHeight="1">
      <c r="A14" s="32"/>
      <c r="B14" s="32"/>
      <c r="C14" s="32"/>
      <c r="D14" s="32"/>
      <c r="E14" s="73"/>
      <c r="F14" s="74"/>
      <c r="G14" s="32"/>
      <c r="H14" s="32"/>
      <c r="I14" s="32"/>
      <c r="J14" s="32"/>
      <c r="K14" s="32"/>
    </row>
    <row r="15" ht="26.25" customHeight="1">
      <c r="A15" s="32"/>
      <c r="B15" s="32"/>
      <c r="C15" s="32"/>
      <c r="D15" s="32"/>
      <c r="E15" s="73"/>
      <c r="F15" s="74"/>
      <c r="G15" s="32"/>
      <c r="H15" s="32"/>
      <c r="I15" s="32"/>
      <c r="J15" s="32"/>
      <c r="K15" s="32"/>
    </row>
    <row r="16">
      <c r="E16" s="75"/>
    </row>
    <row r="17">
      <c r="E17" s="75"/>
    </row>
    <row r="18">
      <c r="E18" s="75"/>
    </row>
    <row r="19">
      <c r="E19" s="75"/>
    </row>
    <row r="20">
      <c r="E20" s="75"/>
    </row>
    <row r="21">
      <c r="E21" s="75"/>
    </row>
    <row r="22">
      <c r="E22" s="75"/>
    </row>
    <row r="23">
      <c r="E23" s="75"/>
    </row>
    <row r="24">
      <c r="E24" s="75"/>
    </row>
    <row r="25">
      <c r="E25" s="75"/>
    </row>
    <row r="26">
      <c r="E26" s="75"/>
    </row>
    <row r="27">
      <c r="E27" s="75"/>
    </row>
    <row r="28">
      <c r="E28" s="75"/>
    </row>
    <row r="29">
      <c r="E29" s="75"/>
    </row>
    <row r="30">
      <c r="E30" s="75"/>
    </row>
    <row r="31">
      <c r="E31" s="75"/>
    </row>
    <row r="32">
      <c r="E32" s="75"/>
    </row>
    <row r="33">
      <c r="E33" s="75"/>
    </row>
    <row r="34">
      <c r="E34" s="75"/>
    </row>
    <row r="35">
      <c r="E35" s="75"/>
    </row>
    <row r="36">
      <c r="E36" s="75"/>
    </row>
    <row r="37">
      <c r="E37" s="75"/>
    </row>
    <row r="38">
      <c r="E38" s="75"/>
    </row>
    <row r="39">
      <c r="E39" s="75"/>
    </row>
    <row r="40">
      <c r="E40" s="75"/>
    </row>
    <row r="41">
      <c r="E41" s="75"/>
    </row>
    <row r="42">
      <c r="E42" s="75"/>
    </row>
    <row r="43">
      <c r="E43" s="75"/>
    </row>
    <row r="44">
      <c r="E44" s="75"/>
    </row>
    <row r="45">
      <c r="E45" s="75"/>
    </row>
    <row r="46">
      <c r="E46" s="75"/>
    </row>
    <row r="47">
      <c r="E47" s="75"/>
    </row>
    <row r="48">
      <c r="E48" s="75"/>
    </row>
    <row r="49">
      <c r="E49" s="75"/>
    </row>
    <row r="50">
      <c r="E50" s="75"/>
    </row>
    <row r="51">
      <c r="E51" s="75"/>
    </row>
    <row r="52">
      <c r="E52" s="75"/>
    </row>
    <row r="53">
      <c r="E53" s="75"/>
    </row>
    <row r="54">
      <c r="E54" s="75"/>
    </row>
    <row r="55">
      <c r="E55" s="75"/>
    </row>
    <row r="56">
      <c r="E56" s="75"/>
    </row>
    <row r="57">
      <c r="E57" s="75"/>
    </row>
    <row r="58">
      <c r="E58" s="75"/>
    </row>
    <row r="59">
      <c r="E59" s="75"/>
    </row>
    <row r="60">
      <c r="E60" s="75"/>
    </row>
    <row r="61">
      <c r="E61" s="75"/>
    </row>
    <row r="62">
      <c r="E62" s="75"/>
    </row>
    <row r="63">
      <c r="E63" s="75"/>
    </row>
    <row r="64">
      <c r="E64" s="75"/>
    </row>
    <row r="65">
      <c r="E65" s="75"/>
    </row>
    <row r="66">
      <c r="E66" s="75"/>
    </row>
    <row r="67">
      <c r="E67" s="75"/>
    </row>
    <row r="68">
      <c r="E68" s="75"/>
    </row>
    <row r="69">
      <c r="E69" s="75"/>
    </row>
    <row r="70">
      <c r="E70" s="75"/>
    </row>
    <row r="71">
      <c r="E71" s="75"/>
    </row>
    <row r="72">
      <c r="E72" s="75"/>
    </row>
    <row r="73">
      <c r="E73" s="75"/>
    </row>
    <row r="74">
      <c r="E74" s="75"/>
    </row>
    <row r="75">
      <c r="E75" s="75"/>
    </row>
    <row r="76">
      <c r="E76" s="75"/>
    </row>
    <row r="77">
      <c r="E77" s="75"/>
    </row>
    <row r="78">
      <c r="E78" s="75"/>
    </row>
    <row r="79">
      <c r="E79" s="75"/>
    </row>
    <row r="80">
      <c r="E80" s="75"/>
    </row>
    <row r="81">
      <c r="E81" s="75"/>
    </row>
    <row r="82">
      <c r="E82" s="75"/>
    </row>
    <row r="83">
      <c r="E83" s="75"/>
    </row>
    <row r="84">
      <c r="E84" s="75"/>
    </row>
    <row r="85">
      <c r="E85" s="75"/>
    </row>
    <row r="86">
      <c r="E86" s="75"/>
    </row>
    <row r="87">
      <c r="E87" s="75"/>
    </row>
    <row r="88">
      <c r="E88" s="75"/>
    </row>
    <row r="89">
      <c r="E89" s="75"/>
    </row>
    <row r="90">
      <c r="E90" s="75"/>
    </row>
    <row r="91">
      <c r="E91" s="75"/>
    </row>
    <row r="92">
      <c r="E92" s="75"/>
    </row>
    <row r="93">
      <c r="E93" s="75"/>
    </row>
    <row r="94">
      <c r="E94" s="75"/>
    </row>
    <row r="95">
      <c r="E95" s="75"/>
    </row>
    <row r="96">
      <c r="E96" s="75"/>
    </row>
    <row r="97">
      <c r="E97" s="75"/>
    </row>
    <row r="98">
      <c r="E98" s="75"/>
    </row>
    <row r="99">
      <c r="E99" s="75"/>
    </row>
    <row r="100">
      <c r="E100" s="75"/>
    </row>
    <row r="101">
      <c r="E101" s="75"/>
    </row>
    <row r="102">
      <c r="E102" s="75"/>
    </row>
    <row r="103">
      <c r="E103" s="75"/>
    </row>
    <row r="104">
      <c r="E104" s="75"/>
    </row>
    <row r="105">
      <c r="E105" s="75"/>
    </row>
    <row r="106">
      <c r="E106" s="75"/>
    </row>
    <row r="107">
      <c r="E107" s="75"/>
    </row>
    <row r="108">
      <c r="E108" s="75"/>
    </row>
    <row r="109">
      <c r="E109" s="75"/>
    </row>
    <row r="110">
      <c r="E110" s="75"/>
    </row>
    <row r="111">
      <c r="E111" s="75"/>
    </row>
    <row r="112">
      <c r="E112" s="75"/>
    </row>
    <row r="113">
      <c r="E113" s="75"/>
    </row>
    <row r="114">
      <c r="E114" s="75"/>
    </row>
    <row r="115">
      <c r="E115" s="75"/>
    </row>
    <row r="116">
      <c r="E116" s="75"/>
    </row>
    <row r="117">
      <c r="E117" s="75"/>
    </row>
    <row r="118">
      <c r="E118" s="75"/>
    </row>
    <row r="119">
      <c r="E119" s="75"/>
    </row>
    <row r="120">
      <c r="E120" s="75"/>
    </row>
    <row r="121">
      <c r="E121" s="75"/>
    </row>
    <row r="122">
      <c r="E122" s="75"/>
    </row>
    <row r="123">
      <c r="E123" s="75"/>
    </row>
    <row r="124">
      <c r="E124" s="75"/>
    </row>
    <row r="125">
      <c r="E125" s="75"/>
    </row>
    <row r="126">
      <c r="E126" s="75"/>
    </row>
    <row r="127">
      <c r="E127" s="75"/>
    </row>
    <row r="128">
      <c r="E128" s="75"/>
    </row>
    <row r="129">
      <c r="E129" s="75"/>
    </row>
    <row r="130">
      <c r="E130" s="75"/>
    </row>
    <row r="131">
      <c r="E131" s="75"/>
    </row>
    <row r="132">
      <c r="E132" s="75"/>
    </row>
    <row r="133">
      <c r="E133" s="75"/>
    </row>
    <row r="134">
      <c r="E134" s="75"/>
    </row>
    <row r="135">
      <c r="E135" s="75"/>
    </row>
    <row r="136">
      <c r="E136" s="75"/>
    </row>
    <row r="137">
      <c r="E137" s="75"/>
    </row>
    <row r="138">
      <c r="E138" s="75"/>
    </row>
    <row r="139">
      <c r="E139" s="75"/>
    </row>
    <row r="140">
      <c r="E140" s="75"/>
    </row>
    <row r="141">
      <c r="E141" s="75"/>
    </row>
    <row r="142">
      <c r="E142" s="75"/>
    </row>
    <row r="143">
      <c r="E143" s="75"/>
    </row>
    <row r="144">
      <c r="E144" s="75"/>
    </row>
    <row r="145">
      <c r="E145" s="75"/>
    </row>
    <row r="146">
      <c r="E146" s="75"/>
    </row>
    <row r="147">
      <c r="E147" s="75"/>
    </row>
    <row r="148">
      <c r="E148" s="75"/>
    </row>
    <row r="149">
      <c r="E149" s="75"/>
    </row>
    <row r="150">
      <c r="E150" s="75"/>
    </row>
    <row r="151">
      <c r="E151" s="75"/>
    </row>
    <row r="152">
      <c r="E152" s="75"/>
    </row>
    <row r="153">
      <c r="E153" s="75"/>
    </row>
    <row r="154">
      <c r="E154" s="75"/>
    </row>
    <row r="155">
      <c r="E155" s="75"/>
    </row>
    <row r="156">
      <c r="E156" s="75"/>
    </row>
    <row r="157">
      <c r="E157" s="75"/>
    </row>
    <row r="158">
      <c r="E158" s="75"/>
    </row>
    <row r="159">
      <c r="E159" s="75"/>
    </row>
    <row r="160">
      <c r="E160" s="75"/>
    </row>
    <row r="161">
      <c r="E161" s="75"/>
    </row>
    <row r="162">
      <c r="E162" s="75"/>
    </row>
    <row r="163">
      <c r="E163" s="75"/>
    </row>
    <row r="164">
      <c r="E164" s="75"/>
    </row>
    <row r="165">
      <c r="E165" s="75"/>
    </row>
    <row r="166">
      <c r="E166" s="75"/>
    </row>
    <row r="167">
      <c r="E167" s="75"/>
    </row>
    <row r="168">
      <c r="E168" s="75"/>
    </row>
    <row r="169">
      <c r="E169" s="75"/>
    </row>
    <row r="170">
      <c r="E170" s="75"/>
    </row>
    <row r="171">
      <c r="E171" s="75"/>
    </row>
    <row r="172">
      <c r="E172" s="75"/>
    </row>
    <row r="173">
      <c r="E173" s="75"/>
    </row>
    <row r="174">
      <c r="E174" s="75"/>
    </row>
    <row r="175">
      <c r="E175" s="75"/>
    </row>
    <row r="176">
      <c r="E176" s="75"/>
    </row>
    <row r="177">
      <c r="E177" s="75"/>
    </row>
    <row r="178">
      <c r="E178" s="75"/>
    </row>
    <row r="179">
      <c r="E179" s="75"/>
    </row>
    <row r="180">
      <c r="E180" s="75"/>
    </row>
    <row r="181">
      <c r="E181" s="75"/>
    </row>
    <row r="182">
      <c r="E182" s="75"/>
    </row>
    <row r="183">
      <c r="E183" s="75"/>
    </row>
    <row r="184">
      <c r="E184" s="75"/>
    </row>
    <row r="185">
      <c r="E185" s="75"/>
    </row>
    <row r="186">
      <c r="E186" s="75"/>
    </row>
    <row r="187">
      <c r="E187" s="75"/>
    </row>
    <row r="188">
      <c r="E188" s="75"/>
    </row>
    <row r="189">
      <c r="E189" s="75"/>
    </row>
    <row r="190">
      <c r="E190" s="75"/>
    </row>
    <row r="191">
      <c r="E191" s="75"/>
    </row>
    <row r="192">
      <c r="E192" s="75"/>
    </row>
    <row r="193">
      <c r="E193" s="75"/>
    </row>
    <row r="194">
      <c r="E194" s="75"/>
    </row>
    <row r="195">
      <c r="E195" s="75"/>
    </row>
    <row r="196">
      <c r="E196" s="75"/>
    </row>
    <row r="197">
      <c r="E197" s="75"/>
    </row>
    <row r="198">
      <c r="E198" s="75"/>
    </row>
    <row r="199">
      <c r="E199" s="75"/>
    </row>
    <row r="200">
      <c r="E200" s="75"/>
    </row>
    <row r="201">
      <c r="E201" s="75"/>
    </row>
    <row r="202">
      <c r="E202" s="75"/>
    </row>
    <row r="203">
      <c r="E203" s="75"/>
    </row>
    <row r="204">
      <c r="E204" s="75"/>
    </row>
    <row r="205">
      <c r="E205" s="75"/>
    </row>
    <row r="206">
      <c r="E206" s="75"/>
    </row>
    <row r="207">
      <c r="E207" s="75"/>
    </row>
    <row r="208">
      <c r="E208" s="75"/>
    </row>
    <row r="209">
      <c r="E209" s="75"/>
    </row>
    <row r="210">
      <c r="E210" s="75"/>
    </row>
    <row r="211">
      <c r="E211" s="75"/>
    </row>
    <row r="212">
      <c r="E212" s="75"/>
    </row>
    <row r="213">
      <c r="E213" s="75"/>
    </row>
    <row r="214">
      <c r="E214" s="75"/>
    </row>
    <row r="215">
      <c r="E215" s="75"/>
    </row>
    <row r="216">
      <c r="E216" s="75"/>
    </row>
    <row r="217">
      <c r="E217" s="75"/>
    </row>
    <row r="218">
      <c r="E218" s="75"/>
    </row>
    <row r="219">
      <c r="E219" s="75"/>
    </row>
    <row r="220">
      <c r="E220" s="75"/>
    </row>
    <row r="221">
      <c r="E221" s="75"/>
    </row>
    <row r="222">
      <c r="E222" s="75"/>
    </row>
    <row r="223">
      <c r="E223" s="75"/>
    </row>
    <row r="224">
      <c r="E224" s="75"/>
    </row>
    <row r="225">
      <c r="E225" s="75"/>
    </row>
    <row r="226">
      <c r="E226" s="75"/>
    </row>
    <row r="227">
      <c r="E227" s="75"/>
    </row>
    <row r="228">
      <c r="E228" s="75"/>
    </row>
    <row r="229">
      <c r="E229" s="75"/>
    </row>
    <row r="230">
      <c r="E230" s="75"/>
    </row>
    <row r="231">
      <c r="E231" s="75"/>
    </row>
    <row r="232">
      <c r="E232" s="75"/>
    </row>
    <row r="233">
      <c r="E233" s="75"/>
    </row>
    <row r="234">
      <c r="E234" s="75"/>
    </row>
    <row r="235">
      <c r="E235" s="75"/>
    </row>
    <row r="236">
      <c r="E236" s="75"/>
    </row>
    <row r="237">
      <c r="E237" s="75"/>
    </row>
    <row r="238">
      <c r="E238" s="75"/>
    </row>
    <row r="239">
      <c r="E239" s="75"/>
    </row>
    <row r="240">
      <c r="E240" s="75"/>
    </row>
    <row r="241">
      <c r="E241" s="75"/>
    </row>
    <row r="242">
      <c r="E242" s="75"/>
    </row>
    <row r="243">
      <c r="E243" s="75"/>
    </row>
    <row r="244">
      <c r="E244" s="75"/>
    </row>
    <row r="245">
      <c r="E245" s="75"/>
    </row>
    <row r="246">
      <c r="E246" s="75"/>
    </row>
    <row r="247">
      <c r="E247" s="75"/>
    </row>
    <row r="248">
      <c r="E248" s="75"/>
    </row>
    <row r="249">
      <c r="E249" s="75"/>
    </row>
    <row r="250">
      <c r="E250" s="75"/>
    </row>
    <row r="251">
      <c r="E251" s="75"/>
    </row>
    <row r="252">
      <c r="E252" s="75"/>
    </row>
    <row r="253">
      <c r="E253" s="75"/>
    </row>
    <row r="254">
      <c r="E254" s="75"/>
    </row>
    <row r="255">
      <c r="E255" s="75"/>
    </row>
    <row r="256">
      <c r="E256" s="75"/>
    </row>
    <row r="257">
      <c r="E257" s="75"/>
    </row>
    <row r="258">
      <c r="E258" s="75"/>
    </row>
    <row r="259">
      <c r="E259" s="75"/>
    </row>
    <row r="260">
      <c r="E260" s="75"/>
    </row>
    <row r="261">
      <c r="E261" s="75"/>
    </row>
    <row r="262">
      <c r="E262" s="75"/>
    </row>
    <row r="263">
      <c r="E263" s="75"/>
    </row>
    <row r="264">
      <c r="E264" s="75"/>
    </row>
    <row r="265">
      <c r="E265" s="75"/>
    </row>
    <row r="266">
      <c r="E266" s="75"/>
    </row>
    <row r="267">
      <c r="E267" s="75"/>
    </row>
    <row r="268">
      <c r="E268" s="75"/>
    </row>
    <row r="269">
      <c r="E269" s="75"/>
    </row>
    <row r="270">
      <c r="E270" s="75"/>
    </row>
    <row r="271">
      <c r="E271" s="75"/>
    </row>
    <row r="272">
      <c r="E272" s="75"/>
    </row>
    <row r="273">
      <c r="E273" s="75"/>
    </row>
    <row r="274">
      <c r="E274" s="75"/>
    </row>
    <row r="275">
      <c r="E275" s="75"/>
    </row>
    <row r="276">
      <c r="E276" s="75"/>
    </row>
    <row r="277">
      <c r="E277" s="75"/>
    </row>
    <row r="278">
      <c r="E278" s="75"/>
    </row>
    <row r="279">
      <c r="E279" s="75"/>
    </row>
    <row r="280">
      <c r="E280" s="75"/>
    </row>
    <row r="281">
      <c r="E281" s="75"/>
    </row>
    <row r="282">
      <c r="E282" s="75"/>
    </row>
    <row r="283">
      <c r="E283" s="75"/>
    </row>
    <row r="284">
      <c r="E284" s="75"/>
    </row>
    <row r="285">
      <c r="E285" s="75"/>
    </row>
    <row r="286">
      <c r="E286" s="75"/>
    </row>
    <row r="287">
      <c r="E287" s="75"/>
    </row>
    <row r="288">
      <c r="E288" s="75"/>
    </row>
    <row r="289">
      <c r="E289" s="75"/>
    </row>
    <row r="290">
      <c r="E290" s="75"/>
    </row>
    <row r="291">
      <c r="E291" s="75"/>
    </row>
    <row r="292">
      <c r="E292" s="75"/>
    </row>
    <row r="293">
      <c r="E293" s="75"/>
    </row>
    <row r="294">
      <c r="E294" s="75"/>
    </row>
    <row r="295">
      <c r="E295" s="75"/>
    </row>
    <row r="296">
      <c r="E296" s="75"/>
    </row>
    <row r="297">
      <c r="E297" s="75"/>
    </row>
    <row r="298">
      <c r="E298" s="75"/>
    </row>
    <row r="299">
      <c r="E299" s="75"/>
    </row>
    <row r="300">
      <c r="E300" s="75"/>
    </row>
    <row r="301">
      <c r="E301" s="75"/>
    </row>
    <row r="302">
      <c r="E302" s="75"/>
    </row>
    <row r="303">
      <c r="E303" s="75"/>
    </row>
    <row r="304">
      <c r="E304" s="75"/>
    </row>
    <row r="305">
      <c r="E305" s="75"/>
    </row>
    <row r="306">
      <c r="E306" s="75"/>
    </row>
    <row r="307">
      <c r="E307" s="75"/>
    </row>
    <row r="308">
      <c r="E308" s="75"/>
    </row>
    <row r="309">
      <c r="E309" s="75"/>
    </row>
    <row r="310">
      <c r="E310" s="75"/>
    </row>
    <row r="311">
      <c r="E311" s="75"/>
    </row>
    <row r="312">
      <c r="E312" s="75"/>
    </row>
    <row r="313">
      <c r="E313" s="75"/>
    </row>
    <row r="314">
      <c r="E314" s="75"/>
    </row>
    <row r="315">
      <c r="E315" s="75"/>
    </row>
    <row r="316">
      <c r="E316" s="75"/>
    </row>
    <row r="317">
      <c r="E317" s="75"/>
    </row>
    <row r="318">
      <c r="E318" s="75"/>
    </row>
    <row r="319">
      <c r="E319" s="75"/>
    </row>
    <row r="320">
      <c r="E320" s="75"/>
    </row>
    <row r="321">
      <c r="E321" s="75"/>
    </row>
    <row r="322">
      <c r="E322" s="75"/>
    </row>
    <row r="323">
      <c r="E323" s="75"/>
    </row>
    <row r="324">
      <c r="E324" s="75"/>
    </row>
    <row r="325">
      <c r="E325" s="75"/>
    </row>
    <row r="326">
      <c r="E326" s="75"/>
    </row>
    <row r="327">
      <c r="E327" s="75"/>
    </row>
    <row r="328">
      <c r="E328" s="75"/>
    </row>
    <row r="329">
      <c r="E329" s="75"/>
    </row>
    <row r="330">
      <c r="E330" s="75"/>
    </row>
    <row r="331">
      <c r="E331" s="75"/>
    </row>
    <row r="332">
      <c r="E332" s="75"/>
    </row>
    <row r="333">
      <c r="E333" s="75"/>
    </row>
    <row r="334">
      <c r="E334" s="75"/>
    </row>
    <row r="335">
      <c r="E335" s="75"/>
    </row>
    <row r="336">
      <c r="E336" s="75"/>
    </row>
    <row r="337">
      <c r="E337" s="75"/>
    </row>
    <row r="338">
      <c r="E338" s="75"/>
    </row>
    <row r="339">
      <c r="E339" s="75"/>
    </row>
    <row r="340">
      <c r="E340" s="75"/>
    </row>
    <row r="341">
      <c r="E341" s="75"/>
    </row>
    <row r="342">
      <c r="E342" s="75"/>
    </row>
    <row r="343">
      <c r="E343" s="75"/>
    </row>
    <row r="344">
      <c r="E344" s="75"/>
    </row>
    <row r="345">
      <c r="E345" s="75"/>
    </row>
    <row r="346">
      <c r="E346" s="75"/>
    </row>
    <row r="347">
      <c r="E347" s="75"/>
    </row>
    <row r="348">
      <c r="E348" s="75"/>
    </row>
    <row r="349">
      <c r="E349" s="75"/>
    </row>
    <row r="350">
      <c r="E350" s="75"/>
    </row>
    <row r="351">
      <c r="E351" s="75"/>
    </row>
    <row r="352">
      <c r="E352" s="75"/>
    </row>
    <row r="353">
      <c r="E353" s="75"/>
    </row>
    <row r="354">
      <c r="E354" s="75"/>
    </row>
    <row r="355">
      <c r="E355" s="75"/>
    </row>
    <row r="356">
      <c r="E356" s="75"/>
    </row>
    <row r="357">
      <c r="E357" s="75"/>
    </row>
    <row r="358">
      <c r="E358" s="75"/>
    </row>
    <row r="359">
      <c r="E359" s="75"/>
    </row>
    <row r="360">
      <c r="E360" s="75"/>
    </row>
    <row r="361">
      <c r="E361" s="75"/>
    </row>
    <row r="362">
      <c r="E362" s="75"/>
    </row>
    <row r="363">
      <c r="E363" s="75"/>
    </row>
    <row r="364">
      <c r="E364" s="75"/>
    </row>
    <row r="365">
      <c r="E365" s="75"/>
    </row>
    <row r="366">
      <c r="E366" s="75"/>
    </row>
    <row r="367">
      <c r="E367" s="75"/>
    </row>
    <row r="368">
      <c r="E368" s="75"/>
    </row>
    <row r="369">
      <c r="E369" s="75"/>
    </row>
    <row r="370">
      <c r="E370" s="75"/>
    </row>
    <row r="371">
      <c r="E371" s="75"/>
    </row>
    <row r="372">
      <c r="E372" s="75"/>
    </row>
    <row r="373">
      <c r="E373" s="75"/>
    </row>
    <row r="374">
      <c r="E374" s="75"/>
    </row>
    <row r="375">
      <c r="E375" s="75"/>
    </row>
    <row r="376">
      <c r="E376" s="75"/>
    </row>
    <row r="377">
      <c r="E377" s="75"/>
    </row>
    <row r="378">
      <c r="E378" s="75"/>
    </row>
    <row r="379">
      <c r="E379" s="75"/>
    </row>
    <row r="380">
      <c r="E380" s="75"/>
    </row>
    <row r="381">
      <c r="E381" s="75"/>
    </row>
    <row r="382">
      <c r="E382" s="75"/>
    </row>
    <row r="383">
      <c r="E383" s="75"/>
    </row>
    <row r="384">
      <c r="E384" s="75"/>
    </row>
    <row r="385">
      <c r="E385" s="75"/>
    </row>
    <row r="386">
      <c r="E386" s="75"/>
    </row>
    <row r="387">
      <c r="E387" s="75"/>
    </row>
    <row r="388">
      <c r="E388" s="75"/>
    </row>
    <row r="389">
      <c r="E389" s="75"/>
    </row>
    <row r="390">
      <c r="E390" s="75"/>
    </row>
    <row r="391">
      <c r="E391" s="75"/>
    </row>
    <row r="392">
      <c r="E392" s="75"/>
    </row>
    <row r="393">
      <c r="E393" s="75"/>
    </row>
    <row r="394">
      <c r="E394" s="75"/>
    </row>
    <row r="395">
      <c r="E395" s="75"/>
    </row>
    <row r="396">
      <c r="E396" s="75"/>
    </row>
    <row r="397">
      <c r="E397" s="75"/>
    </row>
    <row r="398">
      <c r="E398" s="75"/>
    </row>
    <row r="399">
      <c r="E399" s="75"/>
    </row>
    <row r="400">
      <c r="E400" s="75"/>
    </row>
    <row r="401">
      <c r="E401" s="75"/>
    </row>
    <row r="402">
      <c r="E402" s="75"/>
    </row>
    <row r="403">
      <c r="E403" s="75"/>
    </row>
    <row r="404">
      <c r="E404" s="75"/>
    </row>
    <row r="405">
      <c r="E405" s="75"/>
    </row>
    <row r="406">
      <c r="E406" s="75"/>
    </row>
    <row r="407">
      <c r="E407" s="75"/>
    </row>
    <row r="408">
      <c r="E408" s="75"/>
    </row>
    <row r="409">
      <c r="E409" s="75"/>
    </row>
    <row r="410">
      <c r="E410" s="75"/>
    </row>
    <row r="411">
      <c r="E411" s="75"/>
    </row>
    <row r="412">
      <c r="E412" s="75"/>
    </row>
    <row r="413">
      <c r="E413" s="75"/>
    </row>
    <row r="414">
      <c r="E414" s="75"/>
    </row>
    <row r="415">
      <c r="E415" s="75"/>
    </row>
    <row r="416">
      <c r="E416" s="75"/>
    </row>
    <row r="417">
      <c r="E417" s="75"/>
    </row>
    <row r="418">
      <c r="E418" s="75"/>
    </row>
    <row r="419">
      <c r="E419" s="75"/>
    </row>
    <row r="420">
      <c r="E420" s="75"/>
    </row>
    <row r="421">
      <c r="E421" s="75"/>
    </row>
    <row r="422">
      <c r="E422" s="75"/>
    </row>
    <row r="423">
      <c r="E423" s="75"/>
    </row>
    <row r="424">
      <c r="E424" s="75"/>
    </row>
    <row r="425">
      <c r="E425" s="75"/>
    </row>
    <row r="426">
      <c r="E426" s="75"/>
    </row>
    <row r="427">
      <c r="E427" s="75"/>
    </row>
    <row r="428">
      <c r="E428" s="75"/>
    </row>
    <row r="429">
      <c r="E429" s="75"/>
    </row>
    <row r="430">
      <c r="E430" s="75"/>
    </row>
    <row r="431">
      <c r="E431" s="75"/>
    </row>
    <row r="432">
      <c r="E432" s="75"/>
    </row>
    <row r="433">
      <c r="E433" s="75"/>
    </row>
    <row r="434">
      <c r="E434" s="75"/>
    </row>
    <row r="435">
      <c r="E435" s="75"/>
    </row>
    <row r="436">
      <c r="E436" s="75"/>
    </row>
    <row r="437">
      <c r="E437" s="75"/>
    </row>
    <row r="438">
      <c r="E438" s="75"/>
    </row>
    <row r="439">
      <c r="E439" s="75"/>
    </row>
    <row r="440">
      <c r="E440" s="75"/>
    </row>
    <row r="441">
      <c r="E441" s="75"/>
    </row>
    <row r="442">
      <c r="E442" s="75"/>
    </row>
    <row r="443">
      <c r="E443" s="75"/>
    </row>
    <row r="444">
      <c r="E444" s="75"/>
    </row>
    <row r="445">
      <c r="E445" s="75"/>
    </row>
    <row r="446">
      <c r="E446" s="75"/>
    </row>
    <row r="447">
      <c r="E447" s="75"/>
    </row>
    <row r="448">
      <c r="E448" s="75"/>
    </row>
    <row r="449">
      <c r="E449" s="75"/>
    </row>
    <row r="450">
      <c r="E450" s="75"/>
    </row>
    <row r="451">
      <c r="E451" s="75"/>
    </row>
    <row r="452">
      <c r="E452" s="75"/>
    </row>
    <row r="453">
      <c r="E453" s="75"/>
    </row>
    <row r="454">
      <c r="E454" s="75"/>
    </row>
    <row r="455">
      <c r="E455" s="75"/>
    </row>
    <row r="456">
      <c r="E456" s="75"/>
    </row>
    <row r="457">
      <c r="E457" s="75"/>
    </row>
    <row r="458">
      <c r="E458" s="75"/>
    </row>
    <row r="459">
      <c r="E459" s="75"/>
    </row>
    <row r="460">
      <c r="E460" s="75"/>
    </row>
    <row r="461">
      <c r="E461" s="75"/>
    </row>
    <row r="462">
      <c r="E462" s="75"/>
    </row>
    <row r="463">
      <c r="E463" s="75"/>
    </row>
    <row r="464">
      <c r="E464" s="75"/>
    </row>
    <row r="465">
      <c r="E465" s="75"/>
    </row>
    <row r="466">
      <c r="E466" s="75"/>
    </row>
    <row r="467">
      <c r="E467" s="75"/>
    </row>
    <row r="468">
      <c r="E468" s="75"/>
    </row>
    <row r="469">
      <c r="E469" s="75"/>
    </row>
    <row r="470">
      <c r="E470" s="75"/>
    </row>
    <row r="471">
      <c r="E471" s="75"/>
    </row>
    <row r="472">
      <c r="E472" s="75"/>
    </row>
    <row r="473">
      <c r="E473" s="75"/>
    </row>
    <row r="474">
      <c r="E474" s="75"/>
    </row>
    <row r="475">
      <c r="E475" s="75"/>
    </row>
    <row r="476">
      <c r="E476" s="75"/>
    </row>
    <row r="477">
      <c r="E477" s="75"/>
    </row>
    <row r="478">
      <c r="E478" s="75"/>
    </row>
    <row r="479">
      <c r="E479" s="75"/>
    </row>
    <row r="480">
      <c r="E480" s="75"/>
    </row>
    <row r="481">
      <c r="E481" s="75"/>
    </row>
    <row r="482">
      <c r="E482" s="75"/>
    </row>
    <row r="483">
      <c r="E483" s="75"/>
    </row>
    <row r="484">
      <c r="E484" s="75"/>
    </row>
    <row r="485">
      <c r="E485" s="75"/>
    </row>
    <row r="486">
      <c r="E486" s="75"/>
    </row>
    <row r="487">
      <c r="E487" s="75"/>
    </row>
    <row r="488">
      <c r="E488" s="75"/>
    </row>
    <row r="489">
      <c r="E489" s="75"/>
    </row>
    <row r="490">
      <c r="E490" s="75"/>
    </row>
    <row r="491">
      <c r="E491" s="75"/>
    </row>
    <row r="492">
      <c r="E492" s="75"/>
    </row>
    <row r="493">
      <c r="E493" s="75"/>
    </row>
    <row r="494">
      <c r="E494" s="75"/>
    </row>
    <row r="495">
      <c r="E495" s="75"/>
    </row>
    <row r="496">
      <c r="E496" s="75"/>
    </row>
    <row r="497">
      <c r="E497" s="75"/>
    </row>
    <row r="498">
      <c r="E498" s="75"/>
    </row>
    <row r="499">
      <c r="E499" s="75"/>
    </row>
    <row r="500">
      <c r="E500" s="75"/>
    </row>
    <row r="501">
      <c r="E501" s="75"/>
    </row>
    <row r="502">
      <c r="E502" s="75"/>
    </row>
    <row r="503">
      <c r="E503" s="75"/>
    </row>
    <row r="504">
      <c r="E504" s="75"/>
    </row>
    <row r="505">
      <c r="E505" s="75"/>
    </row>
    <row r="506">
      <c r="E506" s="75"/>
    </row>
    <row r="507">
      <c r="E507" s="75"/>
    </row>
    <row r="508">
      <c r="E508" s="75"/>
    </row>
    <row r="509">
      <c r="E509" s="75"/>
    </row>
    <row r="510">
      <c r="E510" s="75"/>
    </row>
    <row r="511">
      <c r="E511" s="75"/>
    </row>
    <row r="512">
      <c r="E512" s="75"/>
    </row>
    <row r="513">
      <c r="E513" s="75"/>
    </row>
    <row r="514">
      <c r="E514" s="75"/>
    </row>
    <row r="515">
      <c r="E515" s="75"/>
    </row>
    <row r="516">
      <c r="E516" s="75"/>
    </row>
    <row r="517">
      <c r="E517" s="75"/>
    </row>
    <row r="518">
      <c r="E518" s="75"/>
    </row>
    <row r="519">
      <c r="E519" s="75"/>
    </row>
    <row r="520">
      <c r="E520" s="75"/>
    </row>
    <row r="521">
      <c r="E521" s="75"/>
    </row>
    <row r="522">
      <c r="E522" s="75"/>
    </row>
    <row r="523">
      <c r="E523" s="75"/>
    </row>
    <row r="524">
      <c r="E524" s="75"/>
    </row>
    <row r="525">
      <c r="E525" s="75"/>
    </row>
    <row r="526">
      <c r="E526" s="75"/>
    </row>
    <row r="527">
      <c r="E527" s="75"/>
    </row>
    <row r="528">
      <c r="E528" s="75"/>
    </row>
    <row r="529">
      <c r="E529" s="75"/>
    </row>
    <row r="530">
      <c r="E530" s="75"/>
    </row>
    <row r="531">
      <c r="E531" s="75"/>
    </row>
    <row r="532">
      <c r="E532" s="75"/>
    </row>
    <row r="533">
      <c r="E533" s="75"/>
    </row>
    <row r="534">
      <c r="E534" s="75"/>
    </row>
    <row r="535">
      <c r="E535" s="75"/>
    </row>
    <row r="536">
      <c r="E536" s="75"/>
    </row>
    <row r="537">
      <c r="E537" s="75"/>
    </row>
    <row r="538">
      <c r="E538" s="75"/>
    </row>
    <row r="539">
      <c r="E539" s="75"/>
    </row>
    <row r="540">
      <c r="E540" s="75"/>
    </row>
    <row r="541">
      <c r="E541" s="75"/>
    </row>
    <row r="542">
      <c r="E542" s="75"/>
    </row>
    <row r="543">
      <c r="E543" s="75"/>
    </row>
    <row r="544">
      <c r="E544" s="75"/>
    </row>
    <row r="545">
      <c r="E545" s="75"/>
    </row>
    <row r="546">
      <c r="E546" s="75"/>
    </row>
    <row r="547">
      <c r="E547" s="75"/>
    </row>
    <row r="548">
      <c r="E548" s="75"/>
    </row>
    <row r="549">
      <c r="E549" s="75"/>
    </row>
    <row r="550">
      <c r="E550" s="75"/>
    </row>
    <row r="551">
      <c r="E551" s="75"/>
    </row>
    <row r="552">
      <c r="E552" s="75"/>
    </row>
    <row r="553">
      <c r="E553" s="75"/>
    </row>
    <row r="554">
      <c r="E554" s="75"/>
    </row>
    <row r="555">
      <c r="E555" s="75"/>
    </row>
    <row r="556">
      <c r="E556" s="75"/>
    </row>
    <row r="557">
      <c r="E557" s="75"/>
    </row>
    <row r="558">
      <c r="E558" s="75"/>
    </row>
    <row r="559">
      <c r="E559" s="75"/>
    </row>
    <row r="560">
      <c r="E560" s="75"/>
    </row>
    <row r="561">
      <c r="E561" s="75"/>
    </row>
    <row r="562">
      <c r="E562" s="75"/>
    </row>
    <row r="563">
      <c r="E563" s="75"/>
    </row>
    <row r="564">
      <c r="E564" s="75"/>
    </row>
    <row r="565">
      <c r="E565" s="75"/>
    </row>
    <row r="566">
      <c r="E566" s="75"/>
    </row>
    <row r="567">
      <c r="E567" s="75"/>
    </row>
    <row r="568">
      <c r="E568" s="75"/>
    </row>
    <row r="569">
      <c r="E569" s="75"/>
    </row>
    <row r="570">
      <c r="E570" s="75"/>
    </row>
    <row r="571">
      <c r="E571" s="75"/>
    </row>
    <row r="572">
      <c r="E572" s="75"/>
    </row>
    <row r="573">
      <c r="E573" s="75"/>
    </row>
    <row r="574">
      <c r="E574" s="75"/>
    </row>
    <row r="575">
      <c r="E575" s="75"/>
    </row>
    <row r="576">
      <c r="E576" s="75"/>
    </row>
    <row r="577">
      <c r="E577" s="75"/>
    </row>
    <row r="578">
      <c r="E578" s="75"/>
    </row>
    <row r="579">
      <c r="E579" s="75"/>
    </row>
    <row r="580">
      <c r="E580" s="75"/>
    </row>
    <row r="581">
      <c r="E581" s="75"/>
    </row>
    <row r="582">
      <c r="E582" s="75"/>
    </row>
    <row r="583">
      <c r="E583" s="75"/>
    </row>
    <row r="584">
      <c r="E584" s="75"/>
    </row>
    <row r="585">
      <c r="E585" s="75"/>
    </row>
    <row r="586">
      <c r="E586" s="75"/>
    </row>
    <row r="587">
      <c r="E587" s="75"/>
    </row>
    <row r="588">
      <c r="E588" s="75"/>
    </row>
    <row r="589">
      <c r="E589" s="75"/>
    </row>
    <row r="590">
      <c r="E590" s="75"/>
    </row>
    <row r="591">
      <c r="E591" s="75"/>
    </row>
    <row r="592">
      <c r="E592" s="75"/>
    </row>
    <row r="593">
      <c r="E593" s="75"/>
    </row>
    <row r="594">
      <c r="E594" s="75"/>
    </row>
    <row r="595">
      <c r="E595" s="75"/>
    </row>
    <row r="596">
      <c r="E596" s="75"/>
    </row>
    <row r="597">
      <c r="E597" s="75"/>
    </row>
    <row r="598">
      <c r="E598" s="75"/>
    </row>
    <row r="599">
      <c r="E599" s="75"/>
    </row>
    <row r="600">
      <c r="E600" s="75"/>
    </row>
    <row r="601">
      <c r="E601" s="75"/>
    </row>
    <row r="602">
      <c r="E602" s="75"/>
    </row>
    <row r="603">
      <c r="E603" s="75"/>
    </row>
    <row r="604">
      <c r="E604" s="75"/>
    </row>
    <row r="605">
      <c r="E605" s="75"/>
    </row>
    <row r="606">
      <c r="E606" s="75"/>
    </row>
    <row r="607">
      <c r="E607" s="75"/>
    </row>
    <row r="608">
      <c r="E608" s="75"/>
    </row>
    <row r="609">
      <c r="E609" s="75"/>
    </row>
    <row r="610">
      <c r="E610" s="75"/>
    </row>
    <row r="611">
      <c r="E611" s="75"/>
    </row>
    <row r="612">
      <c r="E612" s="75"/>
    </row>
    <row r="613">
      <c r="E613" s="75"/>
    </row>
    <row r="614">
      <c r="E614" s="75"/>
    </row>
    <row r="615">
      <c r="E615" s="75"/>
    </row>
    <row r="616">
      <c r="E616" s="75"/>
    </row>
    <row r="617">
      <c r="E617" s="75"/>
    </row>
    <row r="618">
      <c r="E618" s="75"/>
    </row>
    <row r="619">
      <c r="E619" s="75"/>
    </row>
    <row r="620">
      <c r="E620" s="75"/>
    </row>
    <row r="621">
      <c r="E621" s="75"/>
    </row>
    <row r="622">
      <c r="E622" s="75"/>
    </row>
    <row r="623">
      <c r="E623" s="75"/>
    </row>
    <row r="624">
      <c r="E624" s="75"/>
    </row>
    <row r="625">
      <c r="E625" s="75"/>
    </row>
    <row r="626">
      <c r="E626" s="75"/>
    </row>
    <row r="627">
      <c r="E627" s="75"/>
    </row>
    <row r="628">
      <c r="E628" s="75"/>
    </row>
    <row r="629">
      <c r="E629" s="75"/>
    </row>
    <row r="630">
      <c r="E630" s="75"/>
    </row>
    <row r="631">
      <c r="E631" s="75"/>
    </row>
    <row r="632">
      <c r="E632" s="75"/>
    </row>
    <row r="633">
      <c r="E633" s="75"/>
    </row>
    <row r="634">
      <c r="E634" s="75"/>
    </row>
    <row r="635">
      <c r="E635" s="75"/>
    </row>
    <row r="636">
      <c r="E636" s="75"/>
    </row>
    <row r="637">
      <c r="E637" s="75"/>
    </row>
    <row r="638">
      <c r="E638" s="75"/>
    </row>
    <row r="639">
      <c r="E639" s="75"/>
    </row>
    <row r="640">
      <c r="E640" s="75"/>
    </row>
    <row r="641">
      <c r="E641" s="75"/>
    </row>
    <row r="642">
      <c r="E642" s="75"/>
    </row>
    <row r="643">
      <c r="E643" s="75"/>
    </row>
    <row r="644">
      <c r="E644" s="75"/>
    </row>
    <row r="645">
      <c r="E645" s="75"/>
    </row>
    <row r="646">
      <c r="E646" s="75"/>
    </row>
    <row r="647">
      <c r="E647" s="75"/>
    </row>
    <row r="648">
      <c r="E648" s="75"/>
    </row>
    <row r="649">
      <c r="E649" s="75"/>
    </row>
    <row r="650">
      <c r="E650" s="75"/>
    </row>
    <row r="651">
      <c r="E651" s="75"/>
    </row>
    <row r="652">
      <c r="E652" s="75"/>
    </row>
    <row r="653">
      <c r="E653" s="75"/>
    </row>
    <row r="654">
      <c r="E654" s="75"/>
    </row>
    <row r="655">
      <c r="E655" s="75"/>
    </row>
    <row r="656">
      <c r="E656" s="75"/>
    </row>
    <row r="657">
      <c r="E657" s="75"/>
    </row>
    <row r="658">
      <c r="E658" s="75"/>
    </row>
    <row r="659">
      <c r="E659" s="75"/>
    </row>
    <row r="660">
      <c r="E660" s="75"/>
    </row>
    <row r="661">
      <c r="E661" s="75"/>
    </row>
    <row r="662">
      <c r="E662" s="75"/>
    </row>
    <row r="663">
      <c r="E663" s="75"/>
    </row>
    <row r="664">
      <c r="E664" s="75"/>
    </row>
    <row r="665">
      <c r="E665" s="75"/>
    </row>
    <row r="666">
      <c r="E666" s="75"/>
    </row>
    <row r="667">
      <c r="E667" s="75"/>
    </row>
    <row r="668">
      <c r="E668" s="75"/>
    </row>
    <row r="669">
      <c r="E669" s="75"/>
    </row>
    <row r="670">
      <c r="E670" s="75"/>
    </row>
    <row r="671">
      <c r="E671" s="75"/>
    </row>
    <row r="672">
      <c r="E672" s="75"/>
    </row>
    <row r="673">
      <c r="E673" s="75"/>
    </row>
    <row r="674">
      <c r="E674" s="75"/>
    </row>
    <row r="675">
      <c r="E675" s="75"/>
    </row>
    <row r="676">
      <c r="E676" s="75"/>
    </row>
    <row r="677">
      <c r="E677" s="75"/>
    </row>
    <row r="678">
      <c r="E678" s="75"/>
    </row>
    <row r="679">
      <c r="E679" s="75"/>
    </row>
    <row r="680">
      <c r="E680" s="75"/>
    </row>
    <row r="681">
      <c r="E681" s="75"/>
    </row>
    <row r="682">
      <c r="E682" s="75"/>
    </row>
    <row r="683">
      <c r="E683" s="75"/>
    </row>
    <row r="684">
      <c r="E684" s="75"/>
    </row>
    <row r="685">
      <c r="E685" s="75"/>
    </row>
    <row r="686">
      <c r="E686" s="75"/>
    </row>
    <row r="687">
      <c r="E687" s="75"/>
    </row>
    <row r="688">
      <c r="E688" s="75"/>
    </row>
    <row r="689">
      <c r="E689" s="75"/>
    </row>
    <row r="690">
      <c r="E690" s="75"/>
    </row>
    <row r="691">
      <c r="E691" s="75"/>
    </row>
    <row r="692">
      <c r="E692" s="75"/>
    </row>
    <row r="693">
      <c r="E693" s="75"/>
    </row>
    <row r="694">
      <c r="E694" s="75"/>
    </row>
    <row r="695">
      <c r="E695" s="75"/>
    </row>
    <row r="696">
      <c r="E696" s="75"/>
    </row>
    <row r="697">
      <c r="E697" s="75"/>
    </row>
    <row r="698">
      <c r="E698" s="75"/>
    </row>
    <row r="699">
      <c r="E699" s="75"/>
    </row>
    <row r="700">
      <c r="E700" s="75"/>
    </row>
    <row r="701">
      <c r="E701" s="75"/>
    </row>
    <row r="702">
      <c r="E702" s="75"/>
    </row>
    <row r="703">
      <c r="E703" s="75"/>
    </row>
    <row r="704">
      <c r="E704" s="75"/>
    </row>
    <row r="705">
      <c r="E705" s="75"/>
    </row>
    <row r="706">
      <c r="E706" s="75"/>
    </row>
    <row r="707">
      <c r="E707" s="75"/>
    </row>
    <row r="708">
      <c r="E708" s="75"/>
    </row>
    <row r="709">
      <c r="E709" s="75"/>
    </row>
    <row r="710">
      <c r="E710" s="75"/>
    </row>
    <row r="711">
      <c r="E711" s="75"/>
    </row>
    <row r="712">
      <c r="E712" s="75"/>
    </row>
    <row r="713">
      <c r="E713" s="75"/>
    </row>
    <row r="714">
      <c r="E714" s="75"/>
    </row>
    <row r="715">
      <c r="E715" s="75"/>
    </row>
    <row r="716">
      <c r="E716" s="75"/>
    </row>
    <row r="717">
      <c r="E717" s="75"/>
    </row>
    <row r="718">
      <c r="E718" s="75"/>
    </row>
    <row r="719">
      <c r="E719" s="75"/>
    </row>
    <row r="720">
      <c r="E720" s="75"/>
    </row>
    <row r="721">
      <c r="E721" s="75"/>
    </row>
    <row r="722">
      <c r="E722" s="75"/>
    </row>
    <row r="723">
      <c r="E723" s="75"/>
    </row>
    <row r="724">
      <c r="E724" s="75"/>
    </row>
    <row r="725">
      <c r="E725" s="75"/>
    </row>
    <row r="726">
      <c r="E726" s="75"/>
    </row>
    <row r="727">
      <c r="E727" s="75"/>
    </row>
    <row r="728">
      <c r="E728" s="75"/>
    </row>
    <row r="729">
      <c r="E729" s="75"/>
    </row>
    <row r="730">
      <c r="E730" s="75"/>
    </row>
    <row r="731">
      <c r="E731" s="75"/>
    </row>
    <row r="732">
      <c r="E732" s="75"/>
    </row>
    <row r="733">
      <c r="E733" s="75"/>
    </row>
    <row r="734">
      <c r="E734" s="75"/>
    </row>
    <row r="735">
      <c r="E735" s="75"/>
    </row>
    <row r="736">
      <c r="E736" s="75"/>
    </row>
    <row r="737">
      <c r="E737" s="75"/>
    </row>
    <row r="738">
      <c r="E738" s="75"/>
    </row>
    <row r="739">
      <c r="E739" s="75"/>
    </row>
    <row r="740">
      <c r="E740" s="75"/>
    </row>
    <row r="741">
      <c r="E741" s="75"/>
    </row>
    <row r="742">
      <c r="E742" s="75"/>
    </row>
    <row r="743">
      <c r="E743" s="75"/>
    </row>
    <row r="744">
      <c r="E744" s="75"/>
    </row>
    <row r="745">
      <c r="E745" s="75"/>
    </row>
    <row r="746">
      <c r="E746" s="75"/>
    </row>
    <row r="747">
      <c r="E747" s="75"/>
    </row>
    <row r="748">
      <c r="E748" s="75"/>
    </row>
    <row r="749">
      <c r="E749" s="75"/>
    </row>
    <row r="750">
      <c r="E750" s="75"/>
    </row>
    <row r="751">
      <c r="E751" s="75"/>
    </row>
    <row r="752">
      <c r="E752" s="75"/>
    </row>
    <row r="753">
      <c r="E753" s="75"/>
    </row>
    <row r="754">
      <c r="E754" s="75"/>
    </row>
    <row r="755">
      <c r="E755" s="75"/>
    </row>
    <row r="756">
      <c r="E756" s="75"/>
    </row>
    <row r="757">
      <c r="E757" s="75"/>
    </row>
    <row r="758">
      <c r="E758" s="75"/>
    </row>
    <row r="759">
      <c r="E759" s="75"/>
    </row>
    <row r="760">
      <c r="E760" s="75"/>
    </row>
    <row r="761">
      <c r="E761" s="75"/>
    </row>
    <row r="762">
      <c r="E762" s="75"/>
    </row>
    <row r="763">
      <c r="E763" s="75"/>
    </row>
    <row r="764">
      <c r="E764" s="75"/>
    </row>
    <row r="765">
      <c r="E765" s="75"/>
    </row>
    <row r="766">
      <c r="E766" s="75"/>
    </row>
    <row r="767">
      <c r="E767" s="75"/>
    </row>
    <row r="768">
      <c r="E768" s="75"/>
    </row>
    <row r="769">
      <c r="E769" s="75"/>
    </row>
    <row r="770">
      <c r="E770" s="75"/>
    </row>
    <row r="771">
      <c r="E771" s="75"/>
    </row>
    <row r="772">
      <c r="E772" s="75"/>
    </row>
    <row r="773">
      <c r="E773" s="75"/>
    </row>
    <row r="774">
      <c r="E774" s="75"/>
    </row>
    <row r="775">
      <c r="E775" s="75"/>
    </row>
    <row r="776">
      <c r="E776" s="75"/>
    </row>
    <row r="777">
      <c r="E777" s="75"/>
    </row>
    <row r="778">
      <c r="E778" s="75"/>
    </row>
    <row r="779">
      <c r="E779" s="75"/>
    </row>
    <row r="780">
      <c r="E780" s="75"/>
    </row>
    <row r="781">
      <c r="E781" s="75"/>
    </row>
    <row r="782">
      <c r="E782" s="75"/>
    </row>
    <row r="783">
      <c r="E783" s="75"/>
    </row>
    <row r="784">
      <c r="E784" s="75"/>
    </row>
    <row r="785">
      <c r="E785" s="75"/>
    </row>
    <row r="786">
      <c r="E786" s="75"/>
    </row>
    <row r="787">
      <c r="E787" s="75"/>
    </row>
    <row r="788">
      <c r="E788" s="75"/>
    </row>
    <row r="789">
      <c r="E789" s="75"/>
    </row>
    <row r="790">
      <c r="E790" s="75"/>
    </row>
    <row r="791">
      <c r="E791" s="75"/>
    </row>
    <row r="792">
      <c r="E792" s="75"/>
    </row>
    <row r="793">
      <c r="E793" s="75"/>
    </row>
    <row r="794">
      <c r="E794" s="75"/>
    </row>
    <row r="795">
      <c r="E795" s="75"/>
    </row>
    <row r="796">
      <c r="E796" s="75"/>
    </row>
    <row r="797">
      <c r="E797" s="75"/>
    </row>
    <row r="798">
      <c r="E798" s="75"/>
    </row>
    <row r="799">
      <c r="E799" s="75"/>
    </row>
    <row r="800">
      <c r="E800" s="75"/>
    </row>
    <row r="801">
      <c r="E801" s="75"/>
    </row>
    <row r="802">
      <c r="E802" s="75"/>
    </row>
    <row r="803">
      <c r="E803" s="75"/>
    </row>
    <row r="804">
      <c r="E804" s="75"/>
    </row>
    <row r="805">
      <c r="E805" s="75"/>
    </row>
    <row r="806">
      <c r="E806" s="75"/>
    </row>
    <row r="807">
      <c r="E807" s="75"/>
    </row>
    <row r="808">
      <c r="E808" s="75"/>
    </row>
    <row r="809">
      <c r="E809" s="75"/>
    </row>
    <row r="810">
      <c r="E810" s="75"/>
    </row>
    <row r="811">
      <c r="E811" s="75"/>
    </row>
    <row r="812">
      <c r="E812" s="75"/>
    </row>
    <row r="813">
      <c r="E813" s="75"/>
    </row>
    <row r="814">
      <c r="E814" s="75"/>
    </row>
    <row r="815">
      <c r="E815" s="75"/>
    </row>
    <row r="816">
      <c r="E816" s="75"/>
    </row>
    <row r="817">
      <c r="E817" s="75"/>
    </row>
    <row r="818">
      <c r="E818" s="75"/>
    </row>
    <row r="819">
      <c r="E819" s="75"/>
    </row>
    <row r="820">
      <c r="E820" s="75"/>
    </row>
    <row r="821">
      <c r="E821" s="75"/>
    </row>
    <row r="822">
      <c r="E822" s="75"/>
    </row>
    <row r="823">
      <c r="E823" s="75"/>
    </row>
    <row r="824">
      <c r="E824" s="75"/>
    </row>
    <row r="825">
      <c r="E825" s="75"/>
    </row>
    <row r="826">
      <c r="E826" s="75"/>
    </row>
    <row r="827">
      <c r="E827" s="75"/>
    </row>
    <row r="828">
      <c r="E828" s="75"/>
    </row>
    <row r="829">
      <c r="E829" s="75"/>
    </row>
    <row r="830">
      <c r="E830" s="75"/>
    </row>
    <row r="831">
      <c r="E831" s="75"/>
    </row>
    <row r="832">
      <c r="E832" s="75"/>
    </row>
    <row r="833">
      <c r="E833" s="75"/>
    </row>
    <row r="834">
      <c r="E834" s="75"/>
    </row>
    <row r="835">
      <c r="E835" s="75"/>
    </row>
    <row r="836">
      <c r="E836" s="75"/>
    </row>
    <row r="837">
      <c r="E837" s="75"/>
    </row>
    <row r="838">
      <c r="E838" s="75"/>
    </row>
    <row r="839">
      <c r="E839" s="75"/>
    </row>
    <row r="840">
      <c r="E840" s="75"/>
    </row>
    <row r="841">
      <c r="E841" s="75"/>
    </row>
    <row r="842">
      <c r="E842" s="75"/>
    </row>
    <row r="843">
      <c r="E843" s="75"/>
    </row>
    <row r="844">
      <c r="E844" s="75"/>
    </row>
    <row r="845">
      <c r="E845" s="75"/>
    </row>
    <row r="846">
      <c r="E846" s="75"/>
    </row>
    <row r="847">
      <c r="E847" s="75"/>
    </row>
    <row r="848">
      <c r="E848" s="75"/>
    </row>
    <row r="849">
      <c r="E849" s="75"/>
    </row>
    <row r="850">
      <c r="E850" s="75"/>
    </row>
    <row r="851">
      <c r="E851" s="75"/>
    </row>
    <row r="852">
      <c r="E852" s="75"/>
    </row>
    <row r="853">
      <c r="E853" s="75"/>
    </row>
    <row r="854">
      <c r="E854" s="75"/>
    </row>
    <row r="855">
      <c r="E855" s="75"/>
    </row>
    <row r="856">
      <c r="E856" s="75"/>
    </row>
    <row r="857">
      <c r="E857" s="75"/>
    </row>
    <row r="858">
      <c r="E858" s="75"/>
    </row>
    <row r="859">
      <c r="E859" s="75"/>
    </row>
    <row r="860">
      <c r="E860" s="75"/>
    </row>
    <row r="861">
      <c r="E861" s="75"/>
    </row>
    <row r="862">
      <c r="E862" s="75"/>
    </row>
    <row r="863">
      <c r="E863" s="75"/>
    </row>
    <row r="864">
      <c r="E864" s="75"/>
    </row>
    <row r="865">
      <c r="E865" s="75"/>
    </row>
    <row r="866">
      <c r="E866" s="75"/>
    </row>
    <row r="867">
      <c r="E867" s="75"/>
    </row>
    <row r="868">
      <c r="E868" s="75"/>
    </row>
    <row r="869">
      <c r="E869" s="75"/>
    </row>
    <row r="870">
      <c r="E870" s="75"/>
    </row>
    <row r="871">
      <c r="E871" s="75"/>
    </row>
    <row r="872">
      <c r="E872" s="75"/>
    </row>
    <row r="873">
      <c r="E873" s="75"/>
    </row>
    <row r="874">
      <c r="E874" s="75"/>
    </row>
    <row r="875">
      <c r="E875" s="75"/>
    </row>
    <row r="876">
      <c r="E876" s="75"/>
    </row>
    <row r="877">
      <c r="E877" s="75"/>
    </row>
    <row r="878">
      <c r="E878" s="75"/>
    </row>
    <row r="879">
      <c r="E879" s="75"/>
    </row>
    <row r="880">
      <c r="E880" s="75"/>
    </row>
    <row r="881">
      <c r="E881" s="75"/>
    </row>
    <row r="882">
      <c r="E882" s="75"/>
    </row>
    <row r="883">
      <c r="E883" s="75"/>
    </row>
    <row r="884">
      <c r="E884" s="75"/>
    </row>
    <row r="885">
      <c r="E885" s="75"/>
    </row>
    <row r="886">
      <c r="E886" s="75"/>
    </row>
    <row r="887">
      <c r="E887" s="75"/>
    </row>
    <row r="888">
      <c r="E888" s="75"/>
    </row>
    <row r="889">
      <c r="E889" s="75"/>
    </row>
    <row r="890">
      <c r="E890" s="75"/>
    </row>
    <row r="891">
      <c r="E891" s="75"/>
    </row>
    <row r="892">
      <c r="E892" s="75"/>
    </row>
    <row r="893">
      <c r="E893" s="75"/>
    </row>
    <row r="894">
      <c r="E894" s="75"/>
    </row>
    <row r="895">
      <c r="E895" s="75"/>
    </row>
    <row r="896">
      <c r="E896" s="75"/>
    </row>
    <row r="897">
      <c r="E897" s="75"/>
    </row>
    <row r="898">
      <c r="E898" s="75"/>
    </row>
    <row r="899">
      <c r="E899" s="75"/>
    </row>
    <row r="900">
      <c r="E900" s="75"/>
    </row>
    <row r="901">
      <c r="E901" s="75"/>
    </row>
    <row r="902">
      <c r="E902" s="75"/>
    </row>
    <row r="903">
      <c r="E903" s="75"/>
    </row>
    <row r="904">
      <c r="E904" s="75"/>
    </row>
    <row r="905">
      <c r="E905" s="75"/>
    </row>
    <row r="906">
      <c r="E906" s="75"/>
    </row>
    <row r="907">
      <c r="E907" s="75"/>
    </row>
    <row r="908">
      <c r="E908" s="75"/>
    </row>
    <row r="909">
      <c r="E909" s="75"/>
    </row>
    <row r="910">
      <c r="E910" s="75"/>
    </row>
    <row r="911">
      <c r="E911" s="75"/>
    </row>
    <row r="912">
      <c r="E912" s="75"/>
    </row>
    <row r="913">
      <c r="E913" s="75"/>
    </row>
    <row r="914">
      <c r="E914" s="75"/>
    </row>
    <row r="915">
      <c r="E915" s="75"/>
    </row>
    <row r="916">
      <c r="E916" s="75"/>
    </row>
    <row r="917">
      <c r="E917" s="75"/>
    </row>
    <row r="918">
      <c r="E918" s="75"/>
    </row>
    <row r="919">
      <c r="E919" s="75"/>
    </row>
    <row r="920">
      <c r="E920" s="75"/>
    </row>
    <row r="921">
      <c r="E921" s="75"/>
    </row>
    <row r="922">
      <c r="E922" s="75"/>
    </row>
    <row r="923">
      <c r="E923" s="75"/>
    </row>
    <row r="924">
      <c r="E924" s="75"/>
    </row>
    <row r="925">
      <c r="E925" s="75"/>
    </row>
    <row r="926">
      <c r="E926" s="75"/>
    </row>
    <row r="927">
      <c r="E927" s="75"/>
    </row>
    <row r="928">
      <c r="E928" s="75"/>
    </row>
    <row r="929">
      <c r="E929" s="75"/>
    </row>
    <row r="930">
      <c r="E930" s="75"/>
    </row>
    <row r="931">
      <c r="E931" s="75"/>
    </row>
    <row r="932">
      <c r="E932" s="75"/>
    </row>
    <row r="933">
      <c r="E933" s="75"/>
    </row>
    <row r="934">
      <c r="E934" s="75"/>
    </row>
    <row r="935">
      <c r="E935" s="75"/>
    </row>
    <row r="936">
      <c r="E936" s="75"/>
    </row>
    <row r="937">
      <c r="E937" s="75"/>
    </row>
    <row r="938">
      <c r="E938" s="75"/>
    </row>
    <row r="939">
      <c r="E939" s="75"/>
    </row>
    <row r="940">
      <c r="E940" s="75"/>
    </row>
    <row r="941">
      <c r="E941" s="75"/>
    </row>
    <row r="942">
      <c r="E942" s="75"/>
    </row>
    <row r="943">
      <c r="E943" s="75"/>
    </row>
    <row r="944">
      <c r="E944" s="75"/>
    </row>
    <row r="945">
      <c r="E945" s="75"/>
    </row>
    <row r="946">
      <c r="E946" s="75"/>
    </row>
    <row r="947">
      <c r="E947" s="75"/>
    </row>
    <row r="948">
      <c r="E948" s="75"/>
    </row>
    <row r="949">
      <c r="E949" s="75"/>
    </row>
    <row r="950">
      <c r="E950" s="75"/>
    </row>
    <row r="951">
      <c r="E951" s="75"/>
    </row>
    <row r="952">
      <c r="E952" s="75"/>
    </row>
    <row r="953">
      <c r="E953" s="75"/>
    </row>
    <row r="954">
      <c r="E954" s="75"/>
    </row>
    <row r="955">
      <c r="E955" s="75"/>
    </row>
    <row r="956">
      <c r="E956" s="75"/>
    </row>
    <row r="957">
      <c r="E957" s="75"/>
    </row>
    <row r="958">
      <c r="E958" s="75"/>
    </row>
    <row r="959">
      <c r="E959" s="75"/>
    </row>
    <row r="960">
      <c r="E960" s="75"/>
    </row>
    <row r="961">
      <c r="E961" s="75"/>
    </row>
    <row r="962">
      <c r="E962" s="75"/>
    </row>
    <row r="963">
      <c r="E963" s="75"/>
    </row>
    <row r="964">
      <c r="E964" s="75"/>
    </row>
    <row r="965">
      <c r="E965" s="75"/>
    </row>
    <row r="966">
      <c r="E966" s="75"/>
    </row>
    <row r="967">
      <c r="E967" s="75"/>
    </row>
    <row r="968">
      <c r="E968" s="75"/>
    </row>
    <row r="969">
      <c r="E969" s="75"/>
    </row>
    <row r="970">
      <c r="E970" s="75"/>
    </row>
    <row r="971">
      <c r="E971" s="75"/>
    </row>
    <row r="972">
      <c r="E972" s="75"/>
    </row>
    <row r="973">
      <c r="E973" s="75"/>
    </row>
    <row r="974">
      <c r="E974" s="75"/>
    </row>
    <row r="975">
      <c r="E975" s="75"/>
    </row>
    <row r="976">
      <c r="E976" s="75"/>
    </row>
    <row r="977">
      <c r="E977" s="75"/>
    </row>
    <row r="978">
      <c r="E978" s="75"/>
    </row>
    <row r="979">
      <c r="E979" s="75"/>
    </row>
    <row r="980">
      <c r="E980" s="75"/>
    </row>
    <row r="981">
      <c r="E981" s="75"/>
    </row>
    <row r="982">
      <c r="E982" s="75"/>
    </row>
    <row r="983">
      <c r="E983" s="75"/>
    </row>
    <row r="984">
      <c r="E984" s="75"/>
    </row>
    <row r="985">
      <c r="E985" s="75"/>
    </row>
    <row r="986">
      <c r="E986" s="75"/>
    </row>
    <row r="987">
      <c r="E987" s="75"/>
    </row>
    <row r="988">
      <c r="E988" s="75"/>
    </row>
    <row r="989">
      <c r="E989" s="75"/>
    </row>
    <row r="990">
      <c r="E990" s="75"/>
    </row>
    <row r="991">
      <c r="E991" s="75"/>
    </row>
    <row r="992">
      <c r="E992" s="75"/>
    </row>
    <row r="993">
      <c r="E993" s="75"/>
    </row>
    <row r="994">
      <c r="E994" s="75"/>
    </row>
    <row r="995">
      <c r="E995" s="75"/>
    </row>
    <row r="996">
      <c r="E996" s="75"/>
    </row>
    <row r="997">
      <c r="E997" s="75"/>
    </row>
    <row r="998">
      <c r="E998" s="75"/>
    </row>
    <row r="999">
      <c r="E999" s="75"/>
    </row>
    <row r="1000">
      <c r="E1000" s="7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13"/>
    <col customWidth="1" min="3" max="3" width="16.25"/>
    <col customWidth="1" min="4" max="4" width="7.13"/>
    <col customWidth="1" min="6" max="6" width="16.75"/>
    <col customWidth="1" min="7" max="7" width="10.25"/>
    <col customWidth="1" min="8" max="8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288</v>
      </c>
      <c r="F1" s="1" t="s">
        <v>5</v>
      </c>
      <c r="G1" s="4" t="s">
        <v>7</v>
      </c>
      <c r="H1" s="1" t="s">
        <v>9</v>
      </c>
      <c r="I1" s="1" t="s">
        <v>289</v>
      </c>
    </row>
    <row r="2" ht="26.25" customHeight="1">
      <c r="A2" s="32"/>
      <c r="B2" s="32"/>
      <c r="C2" s="32"/>
      <c r="D2" s="32"/>
      <c r="E2" s="32"/>
      <c r="F2" s="32"/>
      <c r="G2" s="32"/>
      <c r="H2" s="32"/>
      <c r="I2" s="32"/>
    </row>
    <row r="3" ht="26.25" customHeight="1">
      <c r="A3" s="32"/>
      <c r="B3" s="32"/>
      <c r="C3" s="32"/>
      <c r="D3" s="32"/>
      <c r="E3" s="32"/>
      <c r="F3" s="32"/>
      <c r="G3" s="32"/>
      <c r="H3" s="32"/>
      <c r="I3" s="32"/>
    </row>
    <row r="4" ht="26.25" customHeight="1">
      <c r="A4" s="32"/>
      <c r="B4" s="32"/>
      <c r="C4" s="32"/>
      <c r="D4" s="32"/>
      <c r="E4" s="32"/>
      <c r="F4" s="32"/>
      <c r="G4" s="32"/>
      <c r="H4" s="32"/>
      <c r="I4" s="32"/>
    </row>
    <row r="5" ht="26.25" customHeight="1">
      <c r="A5" s="32"/>
      <c r="B5" s="32"/>
      <c r="C5" s="32"/>
      <c r="D5" s="32"/>
      <c r="E5" s="32"/>
      <c r="F5" s="32"/>
      <c r="G5" s="32"/>
      <c r="H5" s="32"/>
      <c r="I5" s="32"/>
    </row>
    <row r="6" ht="26.25" customHeight="1">
      <c r="A6" s="32"/>
      <c r="B6" s="32"/>
      <c r="C6" s="32"/>
      <c r="D6" s="32"/>
      <c r="E6" s="32"/>
      <c r="F6" s="32"/>
      <c r="G6" s="32"/>
      <c r="H6" s="32"/>
      <c r="I6" s="32"/>
    </row>
    <row r="7" ht="26.25" customHeight="1">
      <c r="A7" s="32"/>
      <c r="B7" s="32"/>
      <c r="C7" s="32"/>
      <c r="D7" s="32"/>
      <c r="E7" s="32"/>
      <c r="F7" s="32"/>
      <c r="G7" s="32"/>
      <c r="H7" s="32"/>
      <c r="I7" s="32"/>
    </row>
    <row r="8" ht="26.25" customHeight="1">
      <c r="A8" s="32"/>
      <c r="B8" s="32"/>
      <c r="C8" s="32"/>
      <c r="D8" s="32"/>
      <c r="E8" s="32"/>
      <c r="F8" s="32"/>
      <c r="G8" s="32"/>
      <c r="H8" s="32"/>
      <c r="I8" s="32"/>
    </row>
    <row r="9" ht="26.25" customHeight="1">
      <c r="A9" s="32"/>
      <c r="B9" s="32"/>
      <c r="C9" s="32"/>
      <c r="D9" s="32"/>
      <c r="E9" s="32"/>
      <c r="F9" s="32"/>
      <c r="G9" s="32"/>
      <c r="H9" s="32"/>
      <c r="I9" s="32"/>
    </row>
    <row r="10" ht="26.25" customHeight="1">
      <c r="A10" s="32"/>
      <c r="B10" s="32"/>
      <c r="C10" s="32"/>
      <c r="D10" s="32"/>
      <c r="E10" s="32"/>
      <c r="F10" s="32"/>
      <c r="G10" s="32"/>
      <c r="H10" s="32"/>
      <c r="I10" s="32"/>
    </row>
    <row r="11" ht="26.25" customHeight="1">
      <c r="A11" s="32"/>
      <c r="B11" s="32"/>
      <c r="C11" s="32"/>
      <c r="D11" s="32"/>
      <c r="E11" s="32"/>
      <c r="F11" s="32"/>
      <c r="G11" s="32"/>
      <c r="H11" s="32"/>
      <c r="I11" s="32"/>
    </row>
    <row r="12" ht="26.25" customHeight="1">
      <c r="A12" s="32"/>
      <c r="B12" s="32"/>
      <c r="C12" s="32"/>
      <c r="D12" s="32"/>
      <c r="E12" s="32"/>
      <c r="F12" s="32"/>
      <c r="G12" s="32"/>
      <c r="H12" s="32"/>
      <c r="I12" s="32"/>
    </row>
    <row r="13" ht="26.25" customHeight="1">
      <c r="A13" s="32"/>
      <c r="B13" s="32"/>
      <c r="C13" s="32"/>
      <c r="D13" s="32"/>
      <c r="E13" s="32"/>
      <c r="F13" s="32"/>
      <c r="G13" s="32"/>
      <c r="H13" s="32"/>
      <c r="I13" s="32"/>
    </row>
    <row r="14" ht="26.25" customHeight="1">
      <c r="A14" s="32"/>
      <c r="B14" s="32"/>
      <c r="C14" s="32"/>
      <c r="D14" s="32"/>
      <c r="E14" s="32"/>
      <c r="F14" s="32"/>
      <c r="G14" s="32"/>
      <c r="H14" s="32"/>
      <c r="I14" s="32"/>
    </row>
    <row r="15" ht="26.25" customHeight="1">
      <c r="A15" s="32"/>
      <c r="B15" s="32"/>
      <c r="C15" s="32"/>
      <c r="D15" s="32"/>
      <c r="E15" s="32"/>
      <c r="F15" s="32"/>
      <c r="G15" s="32"/>
      <c r="H15" s="32"/>
      <c r="I15" s="32"/>
    </row>
    <row r="16" ht="26.25" customHeight="1">
      <c r="A16" s="32"/>
      <c r="B16" s="32"/>
      <c r="C16" s="32"/>
      <c r="D16" s="32"/>
      <c r="E16" s="32"/>
      <c r="F16" s="32"/>
      <c r="G16" s="32"/>
      <c r="H16" s="32"/>
      <c r="I16" s="32"/>
    </row>
    <row r="17" ht="26.25" customHeight="1">
      <c r="A17" s="32"/>
      <c r="B17" s="32"/>
      <c r="C17" s="32"/>
      <c r="D17" s="32"/>
      <c r="E17" s="32"/>
      <c r="F17" s="32"/>
      <c r="G17" s="32"/>
      <c r="H17" s="32"/>
      <c r="I17" s="32"/>
    </row>
    <row r="18" ht="26.25" customHeight="1">
      <c r="A18" s="32"/>
      <c r="B18" s="32"/>
      <c r="C18" s="32"/>
      <c r="D18" s="32"/>
      <c r="E18" s="32"/>
      <c r="F18" s="32"/>
      <c r="G18" s="32"/>
      <c r="H18" s="32"/>
      <c r="I18" s="32"/>
    </row>
    <row r="19" ht="26.25" customHeight="1">
      <c r="A19" s="32"/>
      <c r="B19" s="32"/>
      <c r="C19" s="32"/>
      <c r="D19" s="32"/>
      <c r="E19" s="32"/>
      <c r="F19" s="32"/>
      <c r="G19" s="32"/>
      <c r="H19" s="32"/>
      <c r="I19" s="3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